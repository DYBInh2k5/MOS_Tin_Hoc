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10 EDUCATION\MOS material\MOS 2019\References\MOS Minh Hà\Excel 2019 TinZ\Đề thi thử\Đề thi thử số 3\DOCUMENTS\"/>
    </mc:Choice>
  </mc:AlternateContent>
  <xr:revisionPtr revIDLastSave="0" documentId="13_ncr:1_{71E05D2B-4748-4BC5-A1A7-EDCD67C89D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Expenses" sheetId="2" r:id="rId2"/>
  </sheets>
  <definedNames>
    <definedName name="BUDGET_Title">Summary!$A$2</definedName>
    <definedName name="COMPANY_NAME">Summary!$A$1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8lu3Zrs2WP2fbuSkQP/ZB37pyqw=="/>
    </ext>
  </extLst>
</workbook>
</file>

<file path=xl/calcChain.xml><?xml version="1.0" encoding="utf-8"?>
<calcChain xmlns="http://schemas.openxmlformats.org/spreadsheetml/2006/main">
  <c r="D25" i="2" l="1"/>
  <c r="E6" i="1" s="1"/>
  <c r="C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F5" i="2"/>
  <c r="F25" i="2" s="1"/>
  <c r="E5" i="2"/>
  <c r="B2" i="2"/>
  <c r="B1" i="2"/>
  <c r="D30" i="1"/>
  <c r="C30" i="1"/>
  <c r="C6" i="1" s="1"/>
  <c r="D6" i="1" s="1"/>
  <c r="F29" i="1"/>
  <c r="E29" i="1"/>
  <c r="F28" i="1"/>
  <c r="E28" i="1"/>
  <c r="F27" i="1"/>
  <c r="F30" i="1" s="1"/>
  <c r="E27" i="1"/>
  <c r="D23" i="1"/>
  <c r="C23" i="1"/>
  <c r="F22" i="1"/>
  <c r="E22" i="1"/>
  <c r="F21" i="1"/>
  <c r="F23" i="1" s="1"/>
  <c r="E21" i="1"/>
  <c r="F20" i="1"/>
  <c r="E20" i="1"/>
  <c r="E5" i="1"/>
  <c r="F5" i="1" s="1"/>
  <c r="C5" i="1"/>
  <c r="D5" i="1" s="1"/>
  <c r="C15" i="1" l="1"/>
  <c r="B15" i="1" s="1" a="1"/>
  <c r="B15" i="1" s="1"/>
  <c r="C13" i="1"/>
  <c r="D13" i="1" s="1"/>
  <c r="F6" i="1"/>
  <c r="C12" i="1"/>
  <c r="C14" i="1"/>
  <c r="C11" i="1"/>
  <c r="D15" i="1" l="1"/>
  <c r="E15" i="1"/>
  <c r="B13" i="1" a="1"/>
  <c r="B13" i="1" s="1"/>
  <c r="E13" i="1"/>
  <c r="B12" i="1" a="1"/>
  <c r="B12" i="1" s="1"/>
  <c r="E12" i="1"/>
  <c r="D12" i="1"/>
  <c r="E11" i="1"/>
  <c r="D11" i="1"/>
  <c r="C16" i="1"/>
  <c r="B11" i="1" a="1"/>
  <c r="B11" i="1" s="1"/>
  <c r="E14" i="1"/>
  <c r="D14" i="1"/>
  <c r="B14" i="1" a="1"/>
  <c r="B14" i="1" s="1"/>
  <c r="D16" i="1" l="1"/>
  <c r="E16" i="1"/>
</calcChain>
</file>

<file path=xl/sharedStrings.xml><?xml version="1.0" encoding="utf-8"?>
<sst xmlns="http://schemas.openxmlformats.org/spreadsheetml/2006/main" count="61" uniqueCount="50">
  <si>
    <t>MONTHLY BUDGET</t>
  </si>
  <si>
    <t>BUDGET TOTALS</t>
  </si>
  <si>
    <t>ESTIMATED</t>
  </si>
  <si>
    <t>PRIVATE</t>
  </si>
  <si>
    <t>ACTUAL</t>
  </si>
  <si>
    <t>DIFFERENCE</t>
  </si>
  <si>
    <t>Income</t>
  </si>
  <si>
    <t>Expenses</t>
  </si>
  <si>
    <t>Budget Overview chart is in this cell. Top 5 Operating Expenses are automatically updated in Top5Expenses table, below.</t>
  </si>
  <si>
    <t>WHAT ARE MY TOP 5 HIGHEST OPERATING EXPENSES?</t>
  </si>
  <si>
    <t>EXPENSE</t>
  </si>
  <si>
    <t>AMOUNT</t>
  </si>
  <si>
    <t>% OF EXPENSES</t>
  </si>
  <si>
    <t>15% REDUCTION</t>
  </si>
  <si>
    <t>Total</t>
  </si>
  <si>
    <t>INCOME</t>
  </si>
  <si>
    <t>TOP 5 AMOUNT</t>
  </si>
  <si>
    <t>Net sales</t>
  </si>
  <si>
    <t>Interest income</t>
  </si>
  <si>
    <t>Asset sales (gain/loss)</t>
  </si>
  <si>
    <t>Total Income</t>
  </si>
  <si>
    <t>PERSONNEL EXPENSES</t>
  </si>
  <si>
    <t>Wages</t>
  </si>
  <si>
    <t>Employee benefits</t>
  </si>
  <si>
    <t>Commission</t>
  </si>
  <si>
    <t>Total Personnel Expenses</t>
  </si>
  <si>
    <t>OPERATING EXPENSES</t>
  </si>
  <si>
    <t>Advertising</t>
  </si>
  <si>
    <t>Bad debts</t>
  </si>
  <si>
    <t>Cash discounts</t>
  </si>
  <si>
    <t>Delivery costs</t>
  </si>
  <si>
    <t>Depreciation</t>
  </si>
  <si>
    <t>Dues and subscriptions</t>
  </si>
  <si>
    <t>Insurance</t>
  </si>
  <si>
    <t>Interest</t>
  </si>
  <si>
    <t>Legal and auditing</t>
  </si>
  <si>
    <t>Maintenance and repairs</t>
  </si>
  <si>
    <t>Office supplies</t>
  </si>
  <si>
    <t>Postage</t>
  </si>
  <si>
    <t>Rent or mortgage</t>
  </si>
  <si>
    <t>Sales expenses</t>
  </si>
  <si>
    <t>Shipping and storage</t>
  </si>
  <si>
    <t>Supplies</t>
  </si>
  <si>
    <t>Taxes</t>
  </si>
  <si>
    <t>Telephone</t>
  </si>
  <si>
    <t>Utilities</t>
  </si>
  <si>
    <t>Other</t>
  </si>
  <si>
    <t>Total Operating Expenses</t>
  </si>
  <si>
    <t>Missing values</t>
  </si>
  <si>
    <t>MOSMH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</si>
</sst>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3">
    <font>
      <sz val="11"/>
      <color theme="1"/>
      <name val="Gill Sans"/>
      <scheme val="minor"/>
    </font>
    <font>
      <sz val="16"/>
      <color theme="0"/>
      <name val="Gill Sans"/>
    </font>
    <font>
      <sz val="11"/>
      <name val="Gill Sans"/>
    </font>
    <font>
      <sz val="11"/>
      <color theme="1"/>
      <name val="Gill Sans"/>
    </font>
    <font>
      <sz val="36"/>
      <color theme="0"/>
      <name val="Gill Sans"/>
    </font>
    <font>
      <sz val="11"/>
      <color rgb="FF0C0C0C"/>
      <name val="Gill Sans"/>
    </font>
    <font>
      <sz val="11"/>
      <color rgb="FFDA0000"/>
      <name val="Gill Sans"/>
    </font>
    <font>
      <sz val="11"/>
      <color rgb="FFF2F2F2"/>
      <name val="Gill Sans"/>
    </font>
    <font>
      <sz val="12"/>
      <color rgb="FF355A61"/>
      <name val="Gill Sans"/>
    </font>
    <font>
      <u/>
      <sz val="16"/>
      <color rgb="FF355A61"/>
      <name val="Gill Sans"/>
    </font>
    <font>
      <sz val="16"/>
      <color rgb="FF274348"/>
      <name val="Gill Sans"/>
    </font>
    <font>
      <sz val="36"/>
      <color rgb="FF355A61"/>
      <name val="Gill Sans"/>
    </font>
    <font>
      <b/>
      <sz val="11"/>
      <color theme="1"/>
      <name val="Gill Sans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2F2F2"/>
        <bgColor rgb="FFF2F2F2"/>
      </patternFill>
    </fill>
    <fill>
      <patternFill patternType="solid">
        <fgColor rgb="FFB1C9B2"/>
        <bgColor rgb="FFB1C9B2"/>
      </patternFill>
    </fill>
    <fill>
      <patternFill patternType="solid">
        <fgColor rgb="FFE8E8E3"/>
        <bgColor rgb="FFE8E8E3"/>
      </patternFill>
    </fill>
    <fill>
      <patternFill patternType="solid">
        <fgColor theme="0"/>
        <bgColor theme="0"/>
      </patternFill>
    </fill>
    <fill>
      <patternFill patternType="solid">
        <fgColor rgb="FFDBEAEA"/>
        <bgColor rgb="FFDBEAE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0" fontId="3" fillId="5" borderId="4" xfId="0" applyNumberFormat="1" applyFont="1" applyFill="1" applyBorder="1" applyAlignment="1">
      <alignment horizontal="left"/>
    </xf>
    <xf numFmtId="40" fontId="6" fillId="0" borderId="0" xfId="0" applyNumberFormat="1" applyFont="1" applyAlignment="1">
      <alignment horizontal="left"/>
    </xf>
    <xf numFmtId="40" fontId="3" fillId="0" borderId="0" xfId="0" applyNumberFormat="1" applyFont="1" applyAlignment="1">
      <alignment horizontal="left"/>
    </xf>
    <xf numFmtId="0" fontId="7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40" fontId="3" fillId="5" borderId="4" xfId="0" applyNumberFormat="1" applyFont="1" applyFill="1" applyBorder="1" applyAlignment="1">
      <alignment horizontal="right"/>
    </xf>
    <xf numFmtId="164" fontId="3" fillId="5" borderId="4" xfId="0" applyNumberFormat="1" applyFont="1" applyFill="1" applyBorder="1" applyAlignment="1">
      <alignment horizontal="right"/>
    </xf>
    <xf numFmtId="40" fontId="3" fillId="0" borderId="0" xfId="0" applyNumberFormat="1" applyFont="1" applyAlignment="1">
      <alignment horizontal="left" wrapText="1"/>
    </xf>
    <xf numFmtId="164" fontId="3" fillId="0" borderId="0" xfId="0" applyNumberFormat="1" applyFont="1" applyAlignment="1">
      <alignment horizontal="left" wrapText="1"/>
    </xf>
    <xf numFmtId="40" fontId="3" fillId="0" borderId="0" xfId="0" applyNumberFormat="1" applyFont="1" applyAlignment="1">
      <alignment horizontal="right"/>
    </xf>
    <xf numFmtId="0" fontId="3" fillId="6" borderId="4" xfId="0" applyFont="1" applyFill="1" applyBorder="1" applyAlignment="1">
      <alignment horizontal="left" wrapText="1"/>
    </xf>
    <xf numFmtId="0" fontId="9" fillId="6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10" fillId="6" borderId="4" xfId="0" applyFont="1" applyFill="1" applyBorder="1" applyAlignment="1">
      <alignment horizontal="left"/>
    </xf>
    <xf numFmtId="0" fontId="11" fillId="6" borderId="4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wrapText="1"/>
    </xf>
    <xf numFmtId="0" fontId="3" fillId="7" borderId="4" xfId="0" applyFont="1" applyFill="1" applyBorder="1" applyAlignment="1">
      <alignment horizontal="left"/>
    </xf>
    <xf numFmtId="40" fontId="3" fillId="4" borderId="4" xfId="0" applyNumberFormat="1" applyFont="1" applyFill="1" applyBorder="1" applyAlignment="1">
      <alignment horizontal="left"/>
    </xf>
    <xf numFmtId="40" fontId="3" fillId="7" borderId="4" xfId="0" applyNumberFormat="1" applyFont="1" applyFill="1" applyBorder="1" applyAlignment="1">
      <alignment horizontal="left"/>
    </xf>
    <xf numFmtId="0" fontId="12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" fillId="2" borderId="1" xfId="0" applyFont="1" applyFill="1" applyBorder="1" applyAlignment="1">
      <alignment horizontal="right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color rgb="FFDA0000"/>
      </font>
      <fill>
        <patternFill patternType="none"/>
      </fill>
    </dxf>
    <dxf>
      <font>
        <color rgb="FFDA0000"/>
      </font>
      <fill>
        <patternFill patternType="none"/>
      </fill>
    </dxf>
    <dxf>
      <font>
        <color rgb="FFDA0000"/>
      </font>
      <fill>
        <patternFill patternType="none"/>
      </fill>
    </dxf>
    <dxf>
      <font>
        <color rgb="FFDA0000"/>
      </font>
      <fill>
        <patternFill patternType="none"/>
      </fill>
    </dxf>
    <dxf>
      <fill>
        <patternFill patternType="solid">
          <fgColor rgb="FFDFE4EB"/>
          <bgColor rgb="FFDFE4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Expenses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000" b="0" i="0">
                <a:solidFill>
                  <a:srgbClr val="757575"/>
                </a:solidFill>
                <a:latin typeface="+mn-lt"/>
              </a:defRPr>
            </a:pPr>
            <a:r>
              <a:rPr lang="vi-VN" sz="1000" b="0" i="0">
                <a:solidFill>
                  <a:srgbClr val="757575"/>
                </a:solidFill>
                <a:latin typeface="+mn-lt"/>
              </a:rPr>
              <a:t>BUDGET OVERVIEW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ESTIMATED</c:v>
          </c:tx>
          <c:spPr>
            <a:solidFill>
              <a:srgbClr val="B3C03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Summary!$B$5:$B$6</c:f>
              <c:strCache>
                <c:ptCount val="2"/>
                <c:pt idx="0">
                  <c:v>Income</c:v>
                </c:pt>
                <c:pt idx="1">
                  <c:v>Expenses</c:v>
                </c:pt>
              </c:strCache>
            </c:strRef>
          </c:cat>
          <c:val>
            <c:numRef>
              <c:f>Summary!$C$5:$C$6</c:f>
              <c:numCache>
                <c:formatCode>#,##0.00_);[Red]\(#,##0.00\)</c:formatCode>
                <c:ptCount val="2"/>
                <c:pt idx="0">
                  <c:v>63300</c:v>
                </c:pt>
                <c:pt idx="1">
                  <c:v>54500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D60-42BF-8042-33610EA10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3346776"/>
        <c:axId val="110833587"/>
      </c:barChart>
      <c:catAx>
        <c:axId val="843346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vi-VN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833587"/>
        <c:crosses val="autoZero"/>
        <c:auto val="1"/>
        <c:lblAlgn val="ctr"/>
        <c:lblOffset val="100"/>
        <c:noMultiLvlLbl val="1"/>
      </c:catAx>
      <c:valAx>
        <c:axId val="1108335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vi-VN"/>
              </a:p>
            </c:rich>
          </c:tx>
          <c:overlay val="0"/>
        </c:title>
        <c:numFmt formatCode="#,##0.00_);[Red]\(#,##0.00\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3346776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11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0" i="0">
                <a:solidFill>
                  <a:srgbClr val="757575"/>
                </a:solidFill>
                <a:latin typeface="+mn-lt"/>
              </a:defRPr>
            </a:pPr>
            <a:r>
              <a:rPr lang="vi-VN" sz="1200" b="0" i="0">
                <a:solidFill>
                  <a:srgbClr val="757575"/>
                </a:solidFill>
                <a:latin typeface="+mn-lt"/>
              </a:rPr>
              <a:t>EXPENSE OVERVIEW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AMOUNT</c:v>
          </c:tx>
          <c:spPr>
            <a:solidFill>
              <a:srgbClr val="559592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Summary!$C$11:$C$15</c:f>
              <c:numCache>
                <c:formatCode>#,##0.00_);[Red]\(#,##0.00\)</c:formatCode>
                <c:ptCount val="5"/>
                <c:pt idx="0">
                  <c:v>4600.0000140000002</c:v>
                </c:pt>
                <c:pt idx="1">
                  <c:v>4500.0000200000004</c:v>
                </c:pt>
                <c:pt idx="2">
                  <c:v>3200.0000209999998</c:v>
                </c:pt>
                <c:pt idx="3">
                  <c:v>2500.0000049999999</c:v>
                </c:pt>
                <c:pt idx="4">
                  <c:v>2200.000012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F44-4F4D-9F69-4206949AB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646348"/>
        <c:axId val="172949236"/>
      </c:barChart>
      <c:lineChart>
        <c:grouping val="standard"/>
        <c:varyColors val="0"/>
        <c:ser>
          <c:idx val="1"/>
          <c:order val="1"/>
          <c:tx>
            <c:v>% OF EXPENSES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Summary!$D$11:$D$15</c:f>
              <c:numCache>
                <c:formatCode>0.0%</c:formatCode>
                <c:ptCount val="5"/>
                <c:pt idx="0">
                  <c:v>0.1156505346071653</c:v>
                </c:pt>
                <c:pt idx="1">
                  <c:v>0.11313639270898806</c:v>
                </c:pt>
                <c:pt idx="2">
                  <c:v>8.0452546096794461E-2</c:v>
                </c:pt>
                <c:pt idx="3">
                  <c:v>6.2853551351351344E-2</c:v>
                </c:pt>
                <c:pt idx="4">
                  <c:v>5.5311125380263983E-2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44-4F4D-9F69-4206949AB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4646348"/>
        <c:axId val="172949236"/>
      </c:lineChart>
      <c:catAx>
        <c:axId val="964646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vi-V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949236"/>
        <c:crosses val="autoZero"/>
        <c:auto val="1"/>
        <c:lblAlgn val="ctr"/>
        <c:lblOffset val="100"/>
        <c:noMultiLvlLbl val="1"/>
      </c:catAx>
      <c:valAx>
        <c:axId val="172949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vi-VN"/>
              </a:p>
            </c:rich>
          </c:tx>
          <c:overlay val="0"/>
        </c:title>
        <c:numFmt formatCode="#,##0.00_);[Red]\(#,##0.00\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464634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vi-VN" sz="1400" b="0" i="0">
                <a:solidFill>
                  <a:srgbClr val="757575"/>
                </a:solidFill>
                <a:latin typeface="+mn-lt"/>
              </a:rPr>
              <a:t>INCOME OVERVIEW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v>ACTUAL</c:v>
          </c:tx>
          <c:spPr>
            <a:solidFill>
              <a:schemeClr val="accent2">
                <a:alpha val="30000"/>
              </a:schemeClr>
            </a:solidFill>
            <a:ln w="19050" cmpd="sng">
              <a:solidFill>
                <a:schemeClr val="accent2"/>
              </a:solidFill>
            </a:ln>
          </c:spPr>
          <c:cat>
            <c:strRef>
              <c:f>Summary!$B$20:$B$22</c:f>
              <c:strCache>
                <c:ptCount val="3"/>
                <c:pt idx="0">
                  <c:v>Net sales</c:v>
                </c:pt>
                <c:pt idx="1">
                  <c:v>Interest income</c:v>
                </c:pt>
                <c:pt idx="2">
                  <c:v>Asset sales (gain/loss)</c:v>
                </c:pt>
              </c:strCache>
            </c:strRef>
          </c:cat>
          <c:val>
            <c:numRef>
              <c:f>Summary!$D$20:$D$22</c:f>
              <c:numCache>
                <c:formatCode>#,##0.00_);[Red]\(#,##0.00\)</c:formatCode>
                <c:ptCount val="3"/>
                <c:pt idx="0">
                  <c:v>54000</c:v>
                </c:pt>
                <c:pt idx="1">
                  <c:v>3000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F-4978-9CC8-7476F0C95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272757"/>
        <c:axId val="261072846"/>
      </c:areaChart>
      <c:lineChart>
        <c:grouping val="standard"/>
        <c:varyColors val="0"/>
        <c:ser>
          <c:idx val="1"/>
          <c:order val="1"/>
          <c:tx>
            <c:v>ESTIMATED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Summary!$B$20:$B$22</c:f>
              <c:strCache>
                <c:ptCount val="3"/>
                <c:pt idx="0">
                  <c:v>Net sales</c:v>
                </c:pt>
                <c:pt idx="1">
                  <c:v>Interest income</c:v>
                </c:pt>
                <c:pt idx="2">
                  <c:v>Asset sales (gain/loss)</c:v>
                </c:pt>
              </c:strCache>
            </c:strRef>
          </c:cat>
          <c:val>
            <c:numRef>
              <c:f>Summary!$C$20:$C$22</c:f>
              <c:numCache>
                <c:formatCode>#,##0.00_);[Red]\(#,##0.00\)</c:formatCode>
                <c:ptCount val="3"/>
                <c:pt idx="0">
                  <c:v>60000</c:v>
                </c:pt>
                <c:pt idx="1">
                  <c:v>3000</c:v>
                </c:pt>
                <c:pt idx="2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F-4978-9CC8-7476F0C95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272757"/>
        <c:axId val="261072846"/>
      </c:lineChart>
      <c:catAx>
        <c:axId val="1771272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vi-V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072846"/>
        <c:crosses val="autoZero"/>
        <c:auto val="1"/>
        <c:lblAlgn val="ctr"/>
        <c:lblOffset val="100"/>
        <c:noMultiLvlLbl val="1"/>
      </c:catAx>
      <c:valAx>
        <c:axId val="26107284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vi-VN"/>
              </a:p>
            </c:rich>
          </c:tx>
          <c:overlay val="0"/>
        </c:title>
        <c:numFmt formatCode="#,##0.00_);[Red]\(#,##0.00\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127275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95250</xdr:colOff>
      <xdr:row>2</xdr:row>
      <xdr:rowOff>0</xdr:rowOff>
    </xdr:from>
    <xdr:ext cx="4029075" cy="1771650"/>
    <xdr:graphicFrame macro="">
      <xdr:nvGraphicFramePr>
        <xdr:cNvPr id="200504652" name="Chart 1" descr="Bar overview chart showing estimated versus actual income and expenses">
          <a:extLst>
            <a:ext uri="{FF2B5EF4-FFF2-40B4-BE49-F238E27FC236}">
              <a16:creationId xmlns:a16="http://schemas.microsoft.com/office/drawing/2014/main" id="{00000000-0008-0000-0000-00004C75F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247650</xdr:colOff>
      <xdr:row>9</xdr:row>
      <xdr:rowOff>114300</xdr:rowOff>
    </xdr:from>
    <xdr:ext cx="3619500" cy="2076450"/>
    <xdr:graphicFrame macro="">
      <xdr:nvGraphicFramePr>
        <xdr:cNvPr id="998655286" name="Chart 2">
          <a:extLst>
            <a:ext uri="{FF2B5EF4-FFF2-40B4-BE49-F238E27FC236}">
              <a16:creationId xmlns:a16="http://schemas.microsoft.com/office/drawing/2014/main" id="{00000000-0008-0000-0000-000036458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238125</xdr:colOff>
      <xdr:row>19</xdr:row>
      <xdr:rowOff>190500</xdr:rowOff>
    </xdr:from>
    <xdr:ext cx="3667125" cy="2076450"/>
    <xdr:graphicFrame macro="">
      <xdr:nvGraphicFramePr>
        <xdr:cNvPr id="366276266" name="Chart 3">
          <a:extLst>
            <a:ext uri="{FF2B5EF4-FFF2-40B4-BE49-F238E27FC236}">
              <a16:creationId xmlns:a16="http://schemas.microsoft.com/office/drawing/2014/main" id="{00000000-0008-0000-0000-0000AAEED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4:F25">
  <tableColumns count="5">
    <tableColumn id="1" xr3:uid="{00000000-0010-0000-0000-000001000000}" name="OPERATING EXPENSES"/>
    <tableColumn id="2" xr3:uid="{00000000-0010-0000-0000-000002000000}" name="ESTIMATED"/>
    <tableColumn id="3" xr3:uid="{00000000-0010-0000-0000-000003000000}" name="ACTUAL"/>
    <tableColumn id="4" xr3:uid="{00000000-0010-0000-0000-000004000000}" name="TOP 5 AMOUNT"/>
    <tableColumn id="5" xr3:uid="{00000000-0010-0000-0000-000005000000}" name="DIFFERENCE"/>
  </tableColumns>
  <tableStyleInfo name="Expen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2799E"/>
      </a:accent1>
      <a:accent2>
        <a:srgbClr val="B3C035"/>
      </a:accent2>
      <a:accent3>
        <a:srgbClr val="908F74"/>
      </a:accent3>
      <a:accent4>
        <a:srgbClr val="7EA67F"/>
      </a:accent4>
      <a:accent5>
        <a:srgbClr val="5588A5"/>
      </a:accent5>
      <a:accent6>
        <a:srgbClr val="559592"/>
      </a:accent6>
      <a:hlink>
        <a:srgbClr val="66AACD"/>
      </a:hlink>
      <a:folHlink>
        <a:srgbClr val="66AACD"/>
      </a:folHlink>
    </a:clrScheme>
    <a:fontScheme name="Sheets">
      <a:majorFont>
        <a:latin typeface="Gill Sans"/>
        <a:ea typeface="Gill Sans"/>
        <a:cs typeface="Gill Sans"/>
      </a:majorFont>
      <a:minorFont>
        <a:latin typeface="Gill Sans"/>
        <a:ea typeface="Gill Sans"/>
        <a:cs typeface="Gill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E8E3"/>
    <pageSetUpPr fitToPage="1"/>
  </sheetPr>
  <dimension ref="A1:Z1000"/>
  <sheetViews>
    <sheetView showGridLines="0" tabSelected="1" workbookViewId="0">
      <selection activeCell="N8" sqref="N8"/>
    </sheetView>
  </sheetViews>
  <sheetFormatPr defaultColWidth="12.59765625" defaultRowHeight="15" customHeight="1"/>
  <cols>
    <col min="1" max="1" width="4.09765625" customWidth="1"/>
    <col min="2" max="2" width="29.09765625" customWidth="1"/>
    <col min="3" max="5" width="19" customWidth="1"/>
    <col min="6" max="6" width="13.8984375" customWidth="1"/>
    <col min="7" max="7" width="4.09765625" customWidth="1"/>
    <col min="8" max="26" width="9" customWidth="1"/>
  </cols>
  <sheetData>
    <row r="1" spans="1:26" ht="31.5" customHeight="1">
      <c r="A1" s="29" t="s">
        <v>49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4.4">
      <c r="A2" s="32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2"/>
      <c r="B3" s="2"/>
      <c r="C3" s="2"/>
      <c r="D3" s="2"/>
      <c r="E3" s="2"/>
      <c r="F3" s="2"/>
      <c r="G3" s="1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75" customHeight="1">
      <c r="A4" s="3"/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5"/>
      <c r="H4" s="3"/>
      <c r="I4" s="3"/>
      <c r="J4" s="3"/>
      <c r="K4" s="3"/>
      <c r="L4" s="3"/>
      <c r="M4" s="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 customHeight="1">
      <c r="A5" s="2"/>
      <c r="B5" s="1" t="s">
        <v>6</v>
      </c>
      <c r="C5" s="6">
        <f>Summary!$C$23</f>
        <v>63300</v>
      </c>
      <c r="D5" s="6">
        <f>Summary!$C5*2</f>
        <v>126600</v>
      </c>
      <c r="E5" s="6">
        <f>Summary!$D$23</f>
        <v>57450</v>
      </c>
      <c r="F5" s="7">
        <f>Summary!$E5-Summary!$C5</f>
        <v>-5850</v>
      </c>
      <c r="G5" s="1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2"/>
      <c r="B6" s="1" t="s">
        <v>7</v>
      </c>
      <c r="C6" s="6">
        <f>Expenses!$C$25+Summary!$C$30</f>
        <v>54500</v>
      </c>
      <c r="D6" s="6">
        <f>Summary!$C6*2</f>
        <v>109000</v>
      </c>
      <c r="E6" s="6">
        <f>Expenses!$D$25+Summary!$D$30</f>
        <v>39775</v>
      </c>
      <c r="F6" s="8">
        <f>Summary!$E6-Summary!$C6</f>
        <v>-14725</v>
      </c>
      <c r="G6" s="1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2"/>
      <c r="B7" s="2"/>
      <c r="C7" s="2"/>
      <c r="D7" s="2"/>
      <c r="E7" s="2"/>
      <c r="F7" s="2"/>
      <c r="G7" s="1"/>
      <c r="H7" s="2"/>
      <c r="I7" s="2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2"/>
      <c r="B8" s="9" t="s">
        <v>8</v>
      </c>
      <c r="C8" s="9"/>
      <c r="D8" s="9"/>
      <c r="E8" s="9"/>
      <c r="F8" s="2"/>
      <c r="G8" s="1"/>
      <c r="H8" s="2"/>
      <c r="I8" s="2"/>
      <c r="J8" s="2"/>
      <c r="K8" s="2"/>
      <c r="L8" s="2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.75" customHeight="1">
      <c r="A9" s="2"/>
      <c r="B9" s="10" t="s">
        <v>9</v>
      </c>
      <c r="C9" s="11"/>
      <c r="D9" s="11"/>
      <c r="E9" s="11"/>
      <c r="F9" s="2"/>
      <c r="G9" s="1"/>
      <c r="H9" s="2"/>
      <c r="I9" s="2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2"/>
      <c r="B10" s="4" t="s">
        <v>10</v>
      </c>
      <c r="C10" s="4" t="s">
        <v>11</v>
      </c>
      <c r="D10" s="4" t="s">
        <v>12</v>
      </c>
      <c r="E10" s="4" t="s">
        <v>13</v>
      </c>
      <c r="F10" s="2"/>
      <c r="G10" s="1"/>
      <c r="H10" s="2"/>
      <c r="I10" s="2"/>
      <c r="J10" s="2"/>
      <c r="K10" s="2"/>
      <c r="L10" s="2"/>
      <c r="M10" s="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>
      <c r="A11" s="2"/>
      <c r="B11" s="1" t="str">
        <f t="array" ref="B11">INDEX(Expenses!$B$5:$F$24,MATCH(Summary!$C11,Expenses!$E$5:$E$24,0),1)</f>
        <v>Maintenance and repairs</v>
      </c>
      <c r="C11" s="12">
        <f>LARGE(Expenses!$E$5:$E$24,1)</f>
        <v>4600.0000140000002</v>
      </c>
      <c r="D11" s="13">
        <f>Summary!$C11/$E$6</f>
        <v>0.1156505346071653</v>
      </c>
      <c r="E11" s="12">
        <f>Summary!$C11*0.15</f>
        <v>690.00000209999996</v>
      </c>
      <c r="F11" s="2"/>
      <c r="G11" s="1"/>
      <c r="H11" s="2"/>
      <c r="I11" s="2"/>
      <c r="J11" s="2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2"/>
      <c r="B12" s="1" t="str">
        <f t="array" ref="B12">INDEX(Expenses!$B$5:$F$24,MATCH(Summary!$C12,Expenses!$E$5:$E$24,0),1)</f>
        <v>Supplies</v>
      </c>
      <c r="C12" s="12">
        <f>LARGE(Expenses!$E$5:$E$24,2)</f>
        <v>4500.0000200000004</v>
      </c>
      <c r="D12" s="13">
        <f>Summary!$C12/$E$6</f>
        <v>0.11313639270898806</v>
      </c>
      <c r="E12" s="12">
        <f>Summary!$C12*0.15</f>
        <v>675.00000299999999</v>
      </c>
      <c r="F12" s="2"/>
      <c r="G12" s="1"/>
      <c r="H12" s="2"/>
      <c r="I12" s="2"/>
      <c r="J12" s="2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2"/>
      <c r="B13" s="1" t="str">
        <f t="array" ref="B13">INDEX(Expenses!$B$5:$F$24,MATCH(Summary!$C13,Expenses!$E$5:$E$24,0),1)</f>
        <v>Taxes</v>
      </c>
      <c r="C13" s="12">
        <f>LARGE(Expenses!$E$5:$E$24,3)</f>
        <v>3200.0000209999998</v>
      </c>
      <c r="D13" s="13">
        <f>Summary!$C13/$E$6</f>
        <v>8.0452546096794461E-2</v>
      </c>
      <c r="E13" s="12">
        <f>Summary!$C13*0.15</f>
        <v>480.00000314999994</v>
      </c>
      <c r="F13" s="2"/>
      <c r="G13" s="1"/>
      <c r="H13" s="2"/>
      <c r="I13" s="2"/>
      <c r="J13" s="2"/>
      <c r="K13" s="2"/>
      <c r="L13" s="2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2"/>
      <c r="B14" s="1" t="str">
        <f t="array" ref="B14">INDEX(Expenses!$B$5:$F$24,MATCH(Summary!$C14,Expenses!$E$5:$E$24,0),1)</f>
        <v>Advertising</v>
      </c>
      <c r="C14" s="12">
        <f>LARGE(Expenses!$E$5:$E$24,4)</f>
        <v>2500.0000049999999</v>
      </c>
      <c r="D14" s="13">
        <f>Summary!$C14/$E$6</f>
        <v>6.2853551351351344E-2</v>
      </c>
      <c r="E14" s="12">
        <f>Summary!$C14*0.15</f>
        <v>375.00000074999997</v>
      </c>
      <c r="F14" s="2"/>
      <c r="G14" s="1"/>
      <c r="H14" s="2"/>
      <c r="I14" s="2"/>
      <c r="J14" s="2"/>
      <c r="K14" s="2"/>
      <c r="L14" s="2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2"/>
      <c r="B15" s="1" t="str">
        <f t="array" ref="B15">INDEX(Expenses!$B$5:$F$24,MATCH(Summary!$C15,Expenses!$E$5:$E$24,0),1)</f>
        <v>Interest</v>
      </c>
      <c r="C15" s="12">
        <f>LARGE(Expenses!$E$5:$E$24,5)</f>
        <v>2200.000012</v>
      </c>
      <c r="D15" s="13">
        <f>Summary!$C15/$E$6</f>
        <v>5.5311125380263983E-2</v>
      </c>
      <c r="E15" s="12">
        <f>Summary!$C15*0.15</f>
        <v>330.00000180000001</v>
      </c>
      <c r="F15" s="2"/>
      <c r="G15" s="1"/>
      <c r="H15" s="2"/>
      <c r="I15" s="2"/>
      <c r="J15" s="2"/>
      <c r="K15" s="2"/>
      <c r="L15" s="2"/>
      <c r="M15" s="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2"/>
      <c r="B16" s="1" t="s">
        <v>14</v>
      </c>
      <c r="C16" s="14">
        <f>SUBTOTAL(109,Summary!$C$11:$C$15)</f>
        <v>17000.000071999999</v>
      </c>
      <c r="D16" s="15">
        <f>SUBTOTAL(109,Summary!$D$11:$D$15)</f>
        <v>0.42740415014456318</v>
      </c>
      <c r="E16" s="14">
        <f>SUBTOTAL(109,Summary!$E$11:$E$15)</f>
        <v>2550.0000107999999</v>
      </c>
      <c r="F16" s="2"/>
      <c r="G16" s="1"/>
      <c r="H16" s="2"/>
      <c r="I16" s="2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2"/>
      <c r="B17" s="2"/>
      <c r="C17" s="2"/>
      <c r="D17" s="2"/>
      <c r="E17" s="2"/>
      <c r="F17" s="2"/>
      <c r="G17" s="1"/>
      <c r="H17" s="2"/>
      <c r="I17" s="2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2"/>
      <c r="B18" s="2"/>
      <c r="C18" s="2"/>
      <c r="D18" s="2"/>
      <c r="E18" s="2"/>
      <c r="F18" s="2"/>
      <c r="G18" s="1"/>
      <c r="H18" s="2"/>
      <c r="I18" s="2"/>
      <c r="J18" s="2"/>
      <c r="K18" s="2"/>
      <c r="L18" s="2"/>
      <c r="M18" s="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2"/>
      <c r="B19" s="4" t="s">
        <v>15</v>
      </c>
      <c r="C19" s="4" t="s">
        <v>2</v>
      </c>
      <c r="D19" s="4" t="s">
        <v>4</v>
      </c>
      <c r="E19" s="4" t="s">
        <v>16</v>
      </c>
      <c r="F19" s="4" t="s">
        <v>5</v>
      </c>
      <c r="G19" s="1"/>
      <c r="H19" s="2"/>
      <c r="I19" s="2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2"/>
      <c r="B20" s="1" t="s">
        <v>17</v>
      </c>
      <c r="C20" s="6">
        <v>60000</v>
      </c>
      <c r="D20" s="6">
        <v>54000</v>
      </c>
      <c r="E20" s="16">
        <f>Summary!$D20+(10^-6)*ROW(Summary!$D20)</f>
        <v>54000.000019999999</v>
      </c>
      <c r="F20" s="8">
        <f>Summary!$D20-Summary!$C20</f>
        <v>-6000</v>
      </c>
      <c r="G20" s="1"/>
      <c r="H20" s="2"/>
      <c r="I20" s="2"/>
      <c r="J20" s="2"/>
      <c r="K20" s="2"/>
      <c r="L20" s="2"/>
      <c r="M20" s="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2"/>
      <c r="B21" s="1" t="s">
        <v>18</v>
      </c>
      <c r="C21" s="6">
        <v>3000</v>
      </c>
      <c r="D21" s="6">
        <v>3000</v>
      </c>
      <c r="E21" s="16">
        <f>Summary!$D21+(10^-6)*ROW(Summary!$D21)</f>
        <v>3000.0000209999998</v>
      </c>
      <c r="F21" s="8">
        <f>Summary!$D21-Summary!$C21</f>
        <v>0</v>
      </c>
      <c r="G21" s="1"/>
      <c r="H21" s="2"/>
      <c r="I21" s="2"/>
      <c r="J21" s="2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2"/>
      <c r="B22" s="1" t="s">
        <v>19</v>
      </c>
      <c r="C22" s="6">
        <v>300</v>
      </c>
      <c r="D22" s="6">
        <v>450</v>
      </c>
      <c r="E22" s="16">
        <f>Summary!$D22+(10^-6)*ROW(Summary!$D22)</f>
        <v>450.000022</v>
      </c>
      <c r="F22" s="8">
        <f>Summary!$D22-Summary!$C22</f>
        <v>150</v>
      </c>
      <c r="G22" s="1"/>
      <c r="H22" s="2"/>
      <c r="I22" s="2"/>
      <c r="J22" s="2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2"/>
      <c r="B23" s="1" t="s">
        <v>20</v>
      </c>
      <c r="C23" s="16">
        <f>SUBTOTAL(109,Summary!$C$20:$C$22)</f>
        <v>63300</v>
      </c>
      <c r="D23" s="16">
        <f>SUBTOTAL(109,Summary!$D$20:$D$22)</f>
        <v>57450</v>
      </c>
      <c r="E23" s="16"/>
      <c r="F23" s="16">
        <f>SUBTOTAL(109,Summary!$F$20:$F$22)</f>
        <v>-5850</v>
      </c>
      <c r="G23" s="1"/>
      <c r="H23" s="2"/>
      <c r="I23" s="2"/>
      <c r="J23" s="2"/>
      <c r="K23" s="2"/>
      <c r="L23" s="2"/>
      <c r="M23" s="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2"/>
      <c r="B24" s="2"/>
      <c r="C24" s="2"/>
      <c r="D24" s="2"/>
      <c r="E24" s="2"/>
      <c r="F24" s="2"/>
      <c r="G24" s="1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2"/>
      <c r="B25" s="2"/>
      <c r="C25" s="2"/>
      <c r="D25" s="2"/>
      <c r="E25" s="2"/>
      <c r="F25" s="2"/>
      <c r="G25" s="1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2"/>
      <c r="B26" s="4" t="s">
        <v>21</v>
      </c>
      <c r="C26" s="4" t="s">
        <v>2</v>
      </c>
      <c r="D26" s="4" t="s">
        <v>4</v>
      </c>
      <c r="E26" s="4" t="s">
        <v>16</v>
      </c>
      <c r="F26" s="4" t="s">
        <v>5</v>
      </c>
      <c r="G26" s="1"/>
      <c r="H26" s="2"/>
      <c r="I26" s="2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2"/>
      <c r="B27" s="1" t="s">
        <v>22</v>
      </c>
      <c r="C27" s="6">
        <v>9500</v>
      </c>
      <c r="D27" s="6">
        <v>9600</v>
      </c>
      <c r="E27" s="16">
        <f>Summary!$D27+(10^-6)*ROW(Summary!$D27)</f>
        <v>9600.000027</v>
      </c>
      <c r="F27" s="8">
        <f>Summary!$C27-Summary!$D27</f>
        <v>-100</v>
      </c>
      <c r="G27" s="1"/>
      <c r="H27" s="2"/>
      <c r="I27" s="2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2"/>
      <c r="B28" s="1" t="s">
        <v>23</v>
      </c>
      <c r="C28" s="6">
        <v>4000</v>
      </c>
      <c r="D28" s="6">
        <v>0</v>
      </c>
      <c r="E28" s="16">
        <f>Summary!$D28+(10^-6)*ROW(Summary!$D28)</f>
        <v>2.8E-5</v>
      </c>
      <c r="F28" s="8">
        <f>Summary!$C28-Summary!$D28</f>
        <v>4000</v>
      </c>
      <c r="G28" s="1"/>
      <c r="H28" s="2"/>
      <c r="I28" s="2"/>
      <c r="J28" s="2"/>
      <c r="K28" s="2"/>
      <c r="L28" s="2"/>
      <c r="M28" s="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2"/>
      <c r="B29" s="1" t="s">
        <v>24</v>
      </c>
      <c r="C29" s="6">
        <v>5000</v>
      </c>
      <c r="D29" s="6">
        <v>4500</v>
      </c>
      <c r="E29" s="16">
        <f>Summary!$D29+(10^-6)*ROW(Summary!$D29)</f>
        <v>4500.0000289999998</v>
      </c>
      <c r="F29" s="8">
        <f>Summary!$C29-Summary!$D29</f>
        <v>500</v>
      </c>
      <c r="G29" s="1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2"/>
      <c r="B30" s="1" t="s">
        <v>25</v>
      </c>
      <c r="C30" s="14">
        <f>SUBTOTAL(109,Summary!$C$27:$C$29)</f>
        <v>18500</v>
      </c>
      <c r="D30" s="14">
        <f>SUBTOTAL(109,Summary!$D$27:$D$29)</f>
        <v>14100</v>
      </c>
      <c r="E30" s="16"/>
      <c r="F30" s="14">
        <f>SUBTOTAL(109,Summary!$F$27:$F$29)</f>
        <v>4400</v>
      </c>
      <c r="G30" s="1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2"/>
      <c r="B31" s="2"/>
      <c r="C31" s="2"/>
      <c r="D31" s="2"/>
      <c r="E31" s="2"/>
      <c r="F31" s="2"/>
      <c r="G31" s="1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2"/>
      <c r="B32" s="2"/>
      <c r="C32" s="2"/>
      <c r="D32" s="2"/>
      <c r="E32" s="2"/>
      <c r="F32" s="2"/>
      <c r="G32" s="1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2"/>
      <c r="B33" s="2"/>
      <c r="C33" s="2"/>
      <c r="D33" s="2"/>
      <c r="E33" s="2"/>
      <c r="F33" s="2"/>
      <c r="G33" s="1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2"/>
      <c r="B34" s="2"/>
      <c r="C34" s="2"/>
      <c r="D34" s="2"/>
      <c r="E34" s="2"/>
      <c r="F34" s="2"/>
      <c r="G34" s="1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2"/>
      <c r="B35" s="2"/>
      <c r="C35" s="2"/>
      <c r="D35" s="2"/>
      <c r="E35" s="2"/>
      <c r="F35" s="2"/>
      <c r="G35" s="1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2"/>
      <c r="B36" s="2"/>
      <c r="C36" s="2"/>
      <c r="D36" s="2"/>
      <c r="E36" s="2"/>
      <c r="F36" s="2"/>
      <c r="G36" s="1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2"/>
      <c r="B37" s="2"/>
      <c r="C37" s="2"/>
      <c r="D37" s="2"/>
      <c r="E37" s="2"/>
      <c r="F37" s="2"/>
      <c r="G37" s="1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2"/>
      <c r="B38" s="2"/>
      <c r="C38" s="2"/>
      <c r="D38" s="2"/>
      <c r="E38" s="2"/>
      <c r="F38" s="2"/>
      <c r="G38" s="1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2"/>
      <c r="B39" s="2"/>
      <c r="C39" s="2"/>
      <c r="D39" s="2"/>
      <c r="E39" s="2"/>
      <c r="F39" s="2"/>
      <c r="G39" s="1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2"/>
      <c r="B40" s="2"/>
      <c r="C40" s="2"/>
      <c r="D40" s="2"/>
      <c r="E40" s="2"/>
      <c r="F40" s="2"/>
      <c r="G40" s="1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2"/>
      <c r="B41" s="2"/>
      <c r="C41" s="2"/>
      <c r="D41" s="2"/>
      <c r="E41" s="2"/>
      <c r="F41" s="2"/>
      <c r="G41" s="1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2"/>
      <c r="B42" s="2"/>
      <c r="C42" s="2"/>
      <c r="D42" s="2"/>
      <c r="E42" s="2"/>
      <c r="F42" s="2"/>
      <c r="G42" s="1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2"/>
      <c r="B43" s="2"/>
      <c r="C43" s="2"/>
      <c r="D43" s="2"/>
      <c r="E43" s="2"/>
      <c r="F43" s="2"/>
      <c r="G43" s="1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2"/>
      <c r="B44" s="2"/>
      <c r="C44" s="2"/>
      <c r="D44" s="2"/>
      <c r="E44" s="2"/>
      <c r="F44" s="2"/>
      <c r="G44" s="1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2"/>
      <c r="B45" s="2"/>
      <c r="C45" s="2"/>
      <c r="D45" s="2"/>
      <c r="E45" s="2"/>
      <c r="F45" s="2"/>
      <c r="G45" s="1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2"/>
      <c r="B46" s="2"/>
      <c r="C46" s="2"/>
      <c r="D46" s="2"/>
      <c r="E46" s="2"/>
      <c r="F46" s="2"/>
      <c r="G46" s="1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2"/>
      <c r="B47" s="2"/>
      <c r="C47" s="2"/>
      <c r="D47" s="2"/>
      <c r="E47" s="2"/>
      <c r="F47" s="2"/>
      <c r="G47" s="1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2"/>
      <c r="B48" s="2"/>
      <c r="C48" s="2"/>
      <c r="D48" s="2"/>
      <c r="E48" s="2"/>
      <c r="F48" s="2"/>
      <c r="G48" s="1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2"/>
      <c r="B49" s="2"/>
      <c r="C49" s="2"/>
      <c r="D49" s="2"/>
      <c r="E49" s="2"/>
      <c r="F49" s="2"/>
      <c r="G49" s="1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2"/>
      <c r="B50" s="2"/>
      <c r="C50" s="2"/>
      <c r="D50" s="2"/>
      <c r="E50" s="2"/>
      <c r="F50" s="2"/>
      <c r="G50" s="1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2"/>
      <c r="B51" s="2"/>
      <c r="C51" s="2"/>
      <c r="D51" s="2"/>
      <c r="E51" s="2"/>
      <c r="F51" s="2"/>
      <c r="G51" s="1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2"/>
      <c r="B52" s="2"/>
      <c r="C52" s="2"/>
      <c r="D52" s="2"/>
      <c r="E52" s="2"/>
      <c r="F52" s="2"/>
      <c r="G52" s="1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2"/>
      <c r="B53" s="2"/>
      <c r="C53" s="2"/>
      <c r="D53" s="2"/>
      <c r="E53" s="2"/>
      <c r="F53" s="2"/>
      <c r="G53" s="1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2"/>
      <c r="B54" s="2"/>
      <c r="C54" s="2"/>
      <c r="D54" s="2"/>
      <c r="E54" s="2"/>
      <c r="F54" s="2"/>
      <c r="G54" s="1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2"/>
      <c r="B55" s="2"/>
      <c r="C55" s="2"/>
      <c r="D55" s="2"/>
      <c r="E55" s="2"/>
      <c r="F55" s="2"/>
      <c r="G55" s="1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2"/>
      <c r="B56" s="2"/>
      <c r="C56" s="2"/>
      <c r="D56" s="2"/>
      <c r="E56" s="2"/>
      <c r="F56" s="2"/>
      <c r="G56" s="1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2"/>
      <c r="B57" s="2"/>
      <c r="C57" s="2"/>
      <c r="D57" s="2"/>
      <c r="E57" s="2"/>
      <c r="F57" s="2"/>
      <c r="G57" s="1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2"/>
      <c r="B58" s="2"/>
      <c r="C58" s="2"/>
      <c r="D58" s="2"/>
      <c r="E58" s="2"/>
      <c r="F58" s="2"/>
      <c r="G58" s="1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2"/>
      <c r="B59" s="2"/>
      <c r="C59" s="2"/>
      <c r="D59" s="2"/>
      <c r="E59" s="2"/>
      <c r="F59" s="2"/>
      <c r="G59" s="1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2"/>
      <c r="B60" s="2"/>
      <c r="C60" s="2"/>
      <c r="D60" s="2"/>
      <c r="E60" s="2"/>
      <c r="F60" s="2"/>
      <c r="G60" s="1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2"/>
      <c r="B61" s="2"/>
      <c r="C61" s="2"/>
      <c r="D61" s="2"/>
      <c r="E61" s="2"/>
      <c r="F61" s="2"/>
      <c r="G61" s="1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2"/>
      <c r="B62" s="2"/>
      <c r="C62" s="2"/>
      <c r="D62" s="2"/>
      <c r="E62" s="2"/>
      <c r="F62" s="2"/>
      <c r="G62" s="1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2"/>
      <c r="B63" s="2"/>
      <c r="C63" s="2"/>
      <c r="D63" s="2"/>
      <c r="E63" s="2"/>
      <c r="F63" s="2"/>
      <c r="G63" s="1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2"/>
      <c r="B64" s="2"/>
      <c r="C64" s="2"/>
      <c r="D64" s="2"/>
      <c r="E64" s="2"/>
      <c r="F64" s="2"/>
      <c r="G64" s="1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2"/>
      <c r="B65" s="2"/>
      <c r="C65" s="2"/>
      <c r="D65" s="2"/>
      <c r="E65" s="2"/>
      <c r="F65" s="2"/>
      <c r="G65" s="1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2"/>
      <c r="B66" s="2"/>
      <c r="C66" s="2"/>
      <c r="D66" s="2"/>
      <c r="E66" s="2"/>
      <c r="F66" s="2"/>
      <c r="G66" s="1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2"/>
      <c r="B67" s="2"/>
      <c r="C67" s="2"/>
      <c r="D67" s="2"/>
      <c r="E67" s="2"/>
      <c r="F67" s="2"/>
      <c r="G67" s="1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2"/>
      <c r="B68" s="2"/>
      <c r="C68" s="2"/>
      <c r="D68" s="2"/>
      <c r="E68" s="2"/>
      <c r="F68" s="2"/>
      <c r="G68" s="1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2"/>
      <c r="B69" s="2"/>
      <c r="C69" s="2"/>
      <c r="D69" s="2"/>
      <c r="E69" s="2"/>
      <c r="F69" s="2"/>
      <c r="G69" s="1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2"/>
      <c r="B70" s="2"/>
      <c r="C70" s="2"/>
      <c r="D70" s="2"/>
      <c r="E70" s="2"/>
      <c r="F70" s="2"/>
      <c r="G70" s="1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2"/>
      <c r="B71" s="2"/>
      <c r="C71" s="2"/>
      <c r="D71" s="2"/>
      <c r="E71" s="2"/>
      <c r="F71" s="2"/>
      <c r="G71" s="1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2"/>
      <c r="B72" s="2"/>
      <c r="C72" s="2"/>
      <c r="D72" s="2"/>
      <c r="E72" s="2"/>
      <c r="F72" s="2"/>
      <c r="G72" s="1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2"/>
      <c r="B73" s="2"/>
      <c r="C73" s="2"/>
      <c r="D73" s="2"/>
      <c r="E73" s="2"/>
      <c r="F73" s="2"/>
      <c r="G73" s="1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2"/>
      <c r="B74" s="2"/>
      <c r="C74" s="2"/>
      <c r="D74" s="2"/>
      <c r="E74" s="2"/>
      <c r="F74" s="2"/>
      <c r="G74" s="1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2"/>
      <c r="B75" s="2"/>
      <c r="C75" s="2"/>
      <c r="D75" s="2"/>
      <c r="E75" s="2"/>
      <c r="F75" s="2"/>
      <c r="G75" s="1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2"/>
      <c r="B76" s="2"/>
      <c r="C76" s="2"/>
      <c r="D76" s="2"/>
      <c r="E76" s="2"/>
      <c r="F76" s="2"/>
      <c r="G76" s="1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2"/>
      <c r="B77" s="2"/>
      <c r="C77" s="2"/>
      <c r="D77" s="2"/>
      <c r="E77" s="2"/>
      <c r="F77" s="2"/>
      <c r="G77" s="1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2"/>
      <c r="B78" s="2"/>
      <c r="C78" s="2"/>
      <c r="D78" s="2"/>
      <c r="E78" s="2"/>
      <c r="F78" s="2"/>
      <c r="G78" s="1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2"/>
      <c r="B79" s="2"/>
      <c r="C79" s="2"/>
      <c r="D79" s="2"/>
      <c r="E79" s="2"/>
      <c r="F79" s="2"/>
      <c r="G79" s="1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2"/>
      <c r="B80" s="2"/>
      <c r="C80" s="2"/>
      <c r="D80" s="2"/>
      <c r="E80" s="2"/>
      <c r="F80" s="2"/>
      <c r="G80" s="1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2"/>
      <c r="B81" s="2"/>
      <c r="C81" s="2"/>
      <c r="D81" s="2"/>
      <c r="E81" s="2"/>
      <c r="F81" s="2"/>
      <c r="G81" s="1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2"/>
      <c r="B82" s="2"/>
      <c r="C82" s="2"/>
      <c r="D82" s="2"/>
      <c r="E82" s="2"/>
      <c r="F82" s="2"/>
      <c r="G82" s="1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2"/>
      <c r="B83" s="2"/>
      <c r="C83" s="2"/>
      <c r="D83" s="2"/>
      <c r="E83" s="2"/>
      <c r="F83" s="2"/>
      <c r="G83" s="1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2"/>
      <c r="B84" s="2"/>
      <c r="C84" s="2"/>
      <c r="D84" s="2"/>
      <c r="E84" s="2"/>
      <c r="F84" s="2"/>
      <c r="G84" s="1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2"/>
      <c r="B85" s="2"/>
      <c r="C85" s="2"/>
      <c r="D85" s="2"/>
      <c r="E85" s="2"/>
      <c r="F85" s="2"/>
      <c r="G85" s="1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2"/>
      <c r="B86" s="2"/>
      <c r="C86" s="2"/>
      <c r="D86" s="2"/>
      <c r="E86" s="2"/>
      <c r="F86" s="2"/>
      <c r="G86" s="1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2"/>
      <c r="B87" s="2"/>
      <c r="C87" s="2"/>
      <c r="D87" s="2"/>
      <c r="E87" s="2"/>
      <c r="F87" s="2"/>
      <c r="G87" s="1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2"/>
      <c r="B88" s="2"/>
      <c r="C88" s="2"/>
      <c r="D88" s="2"/>
      <c r="E88" s="2"/>
      <c r="F88" s="2"/>
      <c r="G88" s="1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2"/>
      <c r="B89" s="2"/>
      <c r="C89" s="2"/>
      <c r="D89" s="2"/>
      <c r="E89" s="2"/>
      <c r="F89" s="2"/>
      <c r="G89" s="1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2"/>
      <c r="B90" s="2"/>
      <c r="C90" s="2"/>
      <c r="D90" s="2"/>
      <c r="E90" s="2"/>
      <c r="F90" s="2"/>
      <c r="G90" s="1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2"/>
      <c r="B91" s="2"/>
      <c r="C91" s="2"/>
      <c r="D91" s="2"/>
      <c r="E91" s="2"/>
      <c r="F91" s="2"/>
      <c r="G91" s="1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2"/>
      <c r="B92" s="2"/>
      <c r="C92" s="2"/>
      <c r="D92" s="2"/>
      <c r="E92" s="2"/>
      <c r="F92" s="2"/>
      <c r="G92" s="1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2"/>
      <c r="B93" s="2"/>
      <c r="C93" s="2"/>
      <c r="D93" s="2"/>
      <c r="E93" s="2"/>
      <c r="F93" s="2"/>
      <c r="G93" s="1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2"/>
      <c r="B94" s="2"/>
      <c r="C94" s="2"/>
      <c r="D94" s="2"/>
      <c r="E94" s="2"/>
      <c r="F94" s="2"/>
      <c r="G94" s="1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2"/>
      <c r="B95" s="2"/>
      <c r="C95" s="2"/>
      <c r="D95" s="2"/>
      <c r="E95" s="2"/>
      <c r="F95" s="2"/>
      <c r="G95" s="1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2"/>
      <c r="B96" s="2"/>
      <c r="C96" s="2"/>
      <c r="D96" s="2"/>
      <c r="E96" s="2"/>
      <c r="F96" s="2"/>
      <c r="G96" s="1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2"/>
      <c r="B97" s="2"/>
      <c r="C97" s="2"/>
      <c r="D97" s="2"/>
      <c r="E97" s="2"/>
      <c r="F97" s="2"/>
      <c r="G97" s="1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2"/>
      <c r="B98" s="2"/>
      <c r="C98" s="2"/>
      <c r="D98" s="2"/>
      <c r="E98" s="2"/>
      <c r="F98" s="2"/>
      <c r="G98" s="1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2"/>
      <c r="B99" s="2"/>
      <c r="C99" s="2"/>
      <c r="D99" s="2"/>
      <c r="E99" s="2"/>
      <c r="F99" s="2"/>
      <c r="G99" s="1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2"/>
      <c r="B100" s="2"/>
      <c r="C100" s="2"/>
      <c r="D100" s="2"/>
      <c r="E100" s="2"/>
      <c r="F100" s="2"/>
      <c r="G100" s="1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2"/>
      <c r="B101" s="2"/>
      <c r="C101" s="2"/>
      <c r="D101" s="2"/>
      <c r="E101" s="2"/>
      <c r="F101" s="2"/>
      <c r="G101" s="1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2"/>
      <c r="B102" s="2"/>
      <c r="C102" s="2"/>
      <c r="D102" s="2"/>
      <c r="E102" s="2"/>
      <c r="F102" s="2"/>
      <c r="G102" s="1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2"/>
      <c r="B103" s="2"/>
      <c r="C103" s="2"/>
      <c r="D103" s="2"/>
      <c r="E103" s="2"/>
      <c r="F103" s="2"/>
      <c r="G103" s="1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2"/>
      <c r="B104" s="2"/>
      <c r="C104" s="2"/>
      <c r="D104" s="2"/>
      <c r="E104" s="2"/>
      <c r="F104" s="2"/>
      <c r="G104" s="1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2"/>
      <c r="B105" s="2"/>
      <c r="C105" s="2"/>
      <c r="D105" s="2"/>
      <c r="E105" s="2"/>
      <c r="F105" s="2"/>
      <c r="G105" s="1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2"/>
      <c r="B106" s="2"/>
      <c r="C106" s="2"/>
      <c r="D106" s="2"/>
      <c r="E106" s="2"/>
      <c r="F106" s="2"/>
      <c r="G106" s="1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2"/>
      <c r="B107" s="2"/>
      <c r="C107" s="2"/>
      <c r="D107" s="2"/>
      <c r="E107" s="2"/>
      <c r="F107" s="2"/>
      <c r="G107" s="1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2"/>
      <c r="B108" s="2"/>
      <c r="C108" s="2"/>
      <c r="D108" s="2"/>
      <c r="E108" s="2"/>
      <c r="F108" s="2"/>
      <c r="G108" s="1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2"/>
      <c r="B109" s="2"/>
      <c r="C109" s="2"/>
      <c r="D109" s="2"/>
      <c r="E109" s="2"/>
      <c r="F109" s="2"/>
      <c r="G109" s="1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2"/>
      <c r="B110" s="2"/>
      <c r="C110" s="2"/>
      <c r="D110" s="2"/>
      <c r="E110" s="2"/>
      <c r="F110" s="2"/>
      <c r="G110" s="1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2"/>
      <c r="B111" s="2"/>
      <c r="C111" s="2"/>
      <c r="D111" s="2"/>
      <c r="E111" s="2"/>
      <c r="F111" s="2"/>
      <c r="G111" s="1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2"/>
      <c r="B112" s="2"/>
      <c r="C112" s="2"/>
      <c r="D112" s="2"/>
      <c r="E112" s="2"/>
      <c r="F112" s="2"/>
      <c r="G112" s="1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2"/>
      <c r="B113" s="2"/>
      <c r="C113" s="2"/>
      <c r="D113" s="2"/>
      <c r="E113" s="2"/>
      <c r="F113" s="2"/>
      <c r="G113" s="1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2"/>
      <c r="B114" s="2"/>
      <c r="C114" s="2"/>
      <c r="D114" s="2"/>
      <c r="E114" s="2"/>
      <c r="F114" s="2"/>
      <c r="G114" s="1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2"/>
      <c r="B115" s="2"/>
      <c r="C115" s="2"/>
      <c r="D115" s="2"/>
      <c r="E115" s="2"/>
      <c r="F115" s="2"/>
      <c r="G115" s="1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2"/>
      <c r="B116" s="2"/>
      <c r="C116" s="2"/>
      <c r="D116" s="2"/>
      <c r="E116" s="2"/>
      <c r="F116" s="2"/>
      <c r="G116" s="1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2"/>
      <c r="B117" s="2"/>
      <c r="C117" s="2"/>
      <c r="D117" s="2"/>
      <c r="E117" s="2"/>
      <c r="F117" s="2"/>
      <c r="G117" s="1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2"/>
      <c r="B118" s="2"/>
      <c r="C118" s="2"/>
      <c r="D118" s="2"/>
      <c r="E118" s="2"/>
      <c r="F118" s="2"/>
      <c r="G118" s="1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2"/>
      <c r="B119" s="2"/>
      <c r="C119" s="2"/>
      <c r="D119" s="2"/>
      <c r="E119" s="2"/>
      <c r="F119" s="2"/>
      <c r="G119" s="1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2"/>
      <c r="B120" s="2"/>
      <c r="C120" s="2"/>
      <c r="D120" s="2"/>
      <c r="E120" s="2"/>
      <c r="F120" s="2"/>
      <c r="G120" s="1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2"/>
      <c r="B121" s="2"/>
      <c r="C121" s="2"/>
      <c r="D121" s="2"/>
      <c r="E121" s="2"/>
      <c r="F121" s="2"/>
      <c r="G121" s="1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2"/>
      <c r="B122" s="2"/>
      <c r="C122" s="2"/>
      <c r="D122" s="2"/>
      <c r="E122" s="2"/>
      <c r="F122" s="2"/>
      <c r="G122" s="1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2"/>
      <c r="B123" s="2"/>
      <c r="C123" s="2"/>
      <c r="D123" s="2"/>
      <c r="E123" s="2"/>
      <c r="F123" s="2"/>
      <c r="G123" s="1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2"/>
      <c r="B124" s="2"/>
      <c r="C124" s="2"/>
      <c r="D124" s="2"/>
      <c r="E124" s="2"/>
      <c r="F124" s="2"/>
      <c r="G124" s="1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2"/>
      <c r="B125" s="2"/>
      <c r="C125" s="2"/>
      <c r="D125" s="2"/>
      <c r="E125" s="2"/>
      <c r="F125" s="2"/>
      <c r="G125" s="1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2"/>
      <c r="B126" s="2"/>
      <c r="C126" s="2"/>
      <c r="D126" s="2"/>
      <c r="E126" s="2"/>
      <c r="F126" s="2"/>
      <c r="G126" s="1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2"/>
      <c r="B127" s="2"/>
      <c r="C127" s="2"/>
      <c r="D127" s="2"/>
      <c r="E127" s="2"/>
      <c r="F127" s="2"/>
      <c r="G127" s="1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2"/>
      <c r="B128" s="2"/>
      <c r="C128" s="2"/>
      <c r="D128" s="2"/>
      <c r="E128" s="2"/>
      <c r="F128" s="2"/>
      <c r="G128" s="1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2"/>
      <c r="B129" s="2"/>
      <c r="C129" s="2"/>
      <c r="D129" s="2"/>
      <c r="E129" s="2"/>
      <c r="F129" s="2"/>
      <c r="G129" s="1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2"/>
      <c r="B130" s="2"/>
      <c r="C130" s="2"/>
      <c r="D130" s="2"/>
      <c r="E130" s="2"/>
      <c r="F130" s="2"/>
      <c r="G130" s="1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2"/>
      <c r="B131" s="2"/>
      <c r="C131" s="2"/>
      <c r="D131" s="2"/>
      <c r="E131" s="2"/>
      <c r="F131" s="2"/>
      <c r="G131" s="1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2"/>
      <c r="B132" s="2"/>
      <c r="C132" s="2"/>
      <c r="D132" s="2"/>
      <c r="E132" s="2"/>
      <c r="F132" s="2"/>
      <c r="G132" s="1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2"/>
      <c r="B133" s="2"/>
      <c r="C133" s="2"/>
      <c r="D133" s="2"/>
      <c r="E133" s="2"/>
      <c r="F133" s="2"/>
      <c r="G133" s="1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2"/>
      <c r="B134" s="2"/>
      <c r="C134" s="2"/>
      <c r="D134" s="2"/>
      <c r="E134" s="2"/>
      <c r="F134" s="2"/>
      <c r="G134" s="1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2"/>
      <c r="B135" s="2"/>
      <c r="C135" s="2"/>
      <c r="D135" s="2"/>
      <c r="E135" s="2"/>
      <c r="F135" s="2"/>
      <c r="G135" s="1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2"/>
      <c r="B136" s="2"/>
      <c r="C136" s="2"/>
      <c r="D136" s="2"/>
      <c r="E136" s="2"/>
      <c r="F136" s="2"/>
      <c r="G136" s="1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2"/>
      <c r="B137" s="2"/>
      <c r="C137" s="2"/>
      <c r="D137" s="2"/>
      <c r="E137" s="2"/>
      <c r="F137" s="2"/>
      <c r="G137" s="1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2"/>
      <c r="B138" s="2"/>
      <c r="C138" s="2"/>
      <c r="D138" s="2"/>
      <c r="E138" s="2"/>
      <c r="F138" s="2"/>
      <c r="G138" s="1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2"/>
      <c r="B139" s="2"/>
      <c r="C139" s="2"/>
      <c r="D139" s="2"/>
      <c r="E139" s="2"/>
      <c r="F139" s="2"/>
      <c r="G139" s="1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2"/>
      <c r="B140" s="2"/>
      <c r="C140" s="2"/>
      <c r="D140" s="2"/>
      <c r="E140" s="2"/>
      <c r="F140" s="2"/>
      <c r="G140" s="1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2"/>
      <c r="B141" s="2"/>
      <c r="C141" s="2"/>
      <c r="D141" s="2"/>
      <c r="E141" s="2"/>
      <c r="F141" s="2"/>
      <c r="G141" s="1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2"/>
      <c r="B142" s="2"/>
      <c r="C142" s="2"/>
      <c r="D142" s="2"/>
      <c r="E142" s="2"/>
      <c r="F142" s="2"/>
      <c r="G142" s="1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2"/>
      <c r="B143" s="2"/>
      <c r="C143" s="2"/>
      <c r="D143" s="2"/>
      <c r="E143" s="2"/>
      <c r="F143" s="2"/>
      <c r="G143" s="1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2"/>
      <c r="B144" s="2"/>
      <c r="C144" s="2"/>
      <c r="D144" s="2"/>
      <c r="E144" s="2"/>
      <c r="F144" s="2"/>
      <c r="G144" s="1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2"/>
      <c r="B145" s="2"/>
      <c r="C145" s="2"/>
      <c r="D145" s="2"/>
      <c r="E145" s="2"/>
      <c r="F145" s="2"/>
      <c r="G145" s="1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2"/>
      <c r="B146" s="2"/>
      <c r="C146" s="2"/>
      <c r="D146" s="2"/>
      <c r="E146" s="2"/>
      <c r="F146" s="2"/>
      <c r="G146" s="1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2"/>
      <c r="B147" s="2"/>
      <c r="C147" s="2"/>
      <c r="D147" s="2"/>
      <c r="E147" s="2"/>
      <c r="F147" s="2"/>
      <c r="G147" s="1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2"/>
      <c r="B148" s="2"/>
      <c r="C148" s="2"/>
      <c r="D148" s="2"/>
      <c r="E148" s="2"/>
      <c r="F148" s="2"/>
      <c r="G148" s="1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2"/>
      <c r="B149" s="2"/>
      <c r="C149" s="2"/>
      <c r="D149" s="2"/>
      <c r="E149" s="2"/>
      <c r="F149" s="2"/>
      <c r="G149" s="1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2"/>
      <c r="B150" s="2"/>
      <c r="C150" s="2"/>
      <c r="D150" s="2"/>
      <c r="E150" s="2"/>
      <c r="F150" s="2"/>
      <c r="G150" s="1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2"/>
      <c r="B151" s="2"/>
      <c r="C151" s="2"/>
      <c r="D151" s="2"/>
      <c r="E151" s="2"/>
      <c r="F151" s="2"/>
      <c r="G151" s="1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2"/>
      <c r="B152" s="2"/>
      <c r="C152" s="2"/>
      <c r="D152" s="2"/>
      <c r="E152" s="2"/>
      <c r="F152" s="2"/>
      <c r="G152" s="1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2"/>
      <c r="B153" s="2"/>
      <c r="C153" s="2"/>
      <c r="D153" s="2"/>
      <c r="E153" s="2"/>
      <c r="F153" s="2"/>
      <c r="G153" s="1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2"/>
      <c r="B154" s="2"/>
      <c r="C154" s="2"/>
      <c r="D154" s="2"/>
      <c r="E154" s="2"/>
      <c r="F154" s="2"/>
      <c r="G154" s="1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2"/>
      <c r="B155" s="2"/>
      <c r="C155" s="2"/>
      <c r="D155" s="2"/>
      <c r="E155" s="2"/>
      <c r="F155" s="2"/>
      <c r="G155" s="1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2"/>
      <c r="B156" s="2"/>
      <c r="C156" s="2"/>
      <c r="D156" s="2"/>
      <c r="E156" s="2"/>
      <c r="F156" s="2"/>
      <c r="G156" s="1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2"/>
      <c r="B157" s="2"/>
      <c r="C157" s="2"/>
      <c r="D157" s="2"/>
      <c r="E157" s="2"/>
      <c r="F157" s="2"/>
      <c r="G157" s="1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2"/>
      <c r="B158" s="2"/>
      <c r="C158" s="2"/>
      <c r="D158" s="2"/>
      <c r="E158" s="2"/>
      <c r="F158" s="2"/>
      <c r="G158" s="1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2"/>
      <c r="B159" s="2"/>
      <c r="C159" s="2"/>
      <c r="D159" s="2"/>
      <c r="E159" s="2"/>
      <c r="F159" s="2"/>
      <c r="G159" s="1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2"/>
      <c r="B160" s="2"/>
      <c r="C160" s="2"/>
      <c r="D160" s="2"/>
      <c r="E160" s="2"/>
      <c r="F160" s="2"/>
      <c r="G160" s="1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2"/>
      <c r="B161" s="2"/>
      <c r="C161" s="2"/>
      <c r="D161" s="2"/>
      <c r="E161" s="2"/>
      <c r="F161" s="2"/>
      <c r="G161" s="1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2"/>
      <c r="B162" s="2"/>
      <c r="C162" s="2"/>
      <c r="D162" s="2"/>
      <c r="E162" s="2"/>
      <c r="F162" s="2"/>
      <c r="G162" s="1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2"/>
      <c r="B163" s="2"/>
      <c r="C163" s="2"/>
      <c r="D163" s="2"/>
      <c r="E163" s="2"/>
      <c r="F163" s="2"/>
      <c r="G163" s="1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2"/>
      <c r="B164" s="2"/>
      <c r="C164" s="2"/>
      <c r="D164" s="2"/>
      <c r="E164" s="2"/>
      <c r="F164" s="2"/>
      <c r="G164" s="1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2"/>
      <c r="B165" s="2"/>
      <c r="C165" s="2"/>
      <c r="D165" s="2"/>
      <c r="E165" s="2"/>
      <c r="F165" s="2"/>
      <c r="G165" s="1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2"/>
      <c r="B166" s="2"/>
      <c r="C166" s="2"/>
      <c r="D166" s="2"/>
      <c r="E166" s="2"/>
      <c r="F166" s="2"/>
      <c r="G166" s="1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2"/>
      <c r="B167" s="2"/>
      <c r="C167" s="2"/>
      <c r="D167" s="2"/>
      <c r="E167" s="2"/>
      <c r="F167" s="2"/>
      <c r="G167" s="1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2"/>
      <c r="B168" s="2"/>
      <c r="C168" s="2"/>
      <c r="D168" s="2"/>
      <c r="E168" s="2"/>
      <c r="F168" s="2"/>
      <c r="G168" s="1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2"/>
      <c r="B169" s="2"/>
      <c r="C169" s="2"/>
      <c r="D169" s="2"/>
      <c r="E169" s="2"/>
      <c r="F169" s="2"/>
      <c r="G169" s="1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2"/>
      <c r="B170" s="2"/>
      <c r="C170" s="2"/>
      <c r="D170" s="2"/>
      <c r="E170" s="2"/>
      <c r="F170" s="2"/>
      <c r="G170" s="1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2"/>
      <c r="B171" s="2"/>
      <c r="C171" s="2"/>
      <c r="D171" s="2"/>
      <c r="E171" s="2"/>
      <c r="F171" s="2"/>
      <c r="G171" s="1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2"/>
      <c r="B172" s="2"/>
      <c r="C172" s="2"/>
      <c r="D172" s="2"/>
      <c r="E172" s="2"/>
      <c r="F172" s="2"/>
      <c r="G172" s="1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2"/>
      <c r="B173" s="2"/>
      <c r="C173" s="2"/>
      <c r="D173" s="2"/>
      <c r="E173" s="2"/>
      <c r="F173" s="2"/>
      <c r="G173" s="1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2"/>
      <c r="B174" s="2"/>
      <c r="C174" s="2"/>
      <c r="D174" s="2"/>
      <c r="E174" s="2"/>
      <c r="F174" s="2"/>
      <c r="G174" s="1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2"/>
      <c r="B175" s="2"/>
      <c r="C175" s="2"/>
      <c r="D175" s="2"/>
      <c r="E175" s="2"/>
      <c r="F175" s="2"/>
      <c r="G175" s="1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2"/>
      <c r="B176" s="2"/>
      <c r="C176" s="2"/>
      <c r="D176" s="2"/>
      <c r="E176" s="2"/>
      <c r="F176" s="2"/>
      <c r="G176" s="1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2"/>
      <c r="B177" s="2"/>
      <c r="C177" s="2"/>
      <c r="D177" s="2"/>
      <c r="E177" s="2"/>
      <c r="F177" s="2"/>
      <c r="G177" s="1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2"/>
      <c r="B178" s="2"/>
      <c r="C178" s="2"/>
      <c r="D178" s="2"/>
      <c r="E178" s="2"/>
      <c r="F178" s="2"/>
      <c r="G178" s="1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2"/>
      <c r="B179" s="2"/>
      <c r="C179" s="2"/>
      <c r="D179" s="2"/>
      <c r="E179" s="2"/>
      <c r="F179" s="2"/>
      <c r="G179" s="1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2"/>
      <c r="B180" s="2"/>
      <c r="C180" s="2"/>
      <c r="D180" s="2"/>
      <c r="E180" s="2"/>
      <c r="F180" s="2"/>
      <c r="G180" s="1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2"/>
      <c r="B181" s="2"/>
      <c r="C181" s="2"/>
      <c r="D181" s="2"/>
      <c r="E181" s="2"/>
      <c r="F181" s="2"/>
      <c r="G181" s="1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2"/>
      <c r="B182" s="2"/>
      <c r="C182" s="2"/>
      <c r="D182" s="2"/>
      <c r="E182" s="2"/>
      <c r="F182" s="2"/>
      <c r="G182" s="1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2"/>
      <c r="B183" s="2"/>
      <c r="C183" s="2"/>
      <c r="D183" s="2"/>
      <c r="E183" s="2"/>
      <c r="F183" s="2"/>
      <c r="G183" s="1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2"/>
      <c r="B184" s="2"/>
      <c r="C184" s="2"/>
      <c r="D184" s="2"/>
      <c r="E184" s="2"/>
      <c r="F184" s="2"/>
      <c r="G184" s="1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2"/>
      <c r="B185" s="2"/>
      <c r="C185" s="2"/>
      <c r="D185" s="2"/>
      <c r="E185" s="2"/>
      <c r="F185" s="2"/>
      <c r="G185" s="1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2"/>
      <c r="B186" s="2"/>
      <c r="C186" s="2"/>
      <c r="D186" s="2"/>
      <c r="E186" s="2"/>
      <c r="F186" s="2"/>
      <c r="G186" s="1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2"/>
      <c r="B187" s="2"/>
      <c r="C187" s="2"/>
      <c r="D187" s="2"/>
      <c r="E187" s="2"/>
      <c r="F187" s="2"/>
      <c r="G187" s="1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2"/>
      <c r="B188" s="2"/>
      <c r="C188" s="2"/>
      <c r="D188" s="2"/>
      <c r="E188" s="2"/>
      <c r="F188" s="2"/>
      <c r="G188" s="1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2"/>
      <c r="B189" s="2"/>
      <c r="C189" s="2"/>
      <c r="D189" s="2"/>
      <c r="E189" s="2"/>
      <c r="F189" s="2"/>
      <c r="G189" s="1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2"/>
      <c r="B190" s="2"/>
      <c r="C190" s="2"/>
      <c r="D190" s="2"/>
      <c r="E190" s="2"/>
      <c r="F190" s="2"/>
      <c r="G190" s="1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2"/>
      <c r="B191" s="2"/>
      <c r="C191" s="2"/>
      <c r="D191" s="2"/>
      <c r="E191" s="2"/>
      <c r="F191" s="2"/>
      <c r="G191" s="1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2"/>
      <c r="B192" s="2"/>
      <c r="C192" s="2"/>
      <c r="D192" s="2"/>
      <c r="E192" s="2"/>
      <c r="F192" s="2"/>
      <c r="G192" s="1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2"/>
      <c r="B193" s="2"/>
      <c r="C193" s="2"/>
      <c r="D193" s="2"/>
      <c r="E193" s="2"/>
      <c r="F193" s="2"/>
      <c r="G193" s="1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2"/>
      <c r="B194" s="2"/>
      <c r="C194" s="2"/>
      <c r="D194" s="2"/>
      <c r="E194" s="2"/>
      <c r="F194" s="2"/>
      <c r="G194" s="1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2"/>
      <c r="B195" s="2"/>
      <c r="C195" s="2"/>
      <c r="D195" s="2"/>
      <c r="E195" s="2"/>
      <c r="F195" s="2"/>
      <c r="G195" s="1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2"/>
      <c r="B196" s="2"/>
      <c r="C196" s="2"/>
      <c r="D196" s="2"/>
      <c r="E196" s="2"/>
      <c r="F196" s="2"/>
      <c r="G196" s="1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2"/>
      <c r="B197" s="2"/>
      <c r="C197" s="2"/>
      <c r="D197" s="2"/>
      <c r="E197" s="2"/>
      <c r="F197" s="2"/>
      <c r="G197" s="1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2"/>
      <c r="B198" s="2"/>
      <c r="C198" s="2"/>
      <c r="D198" s="2"/>
      <c r="E198" s="2"/>
      <c r="F198" s="2"/>
      <c r="G198" s="1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2"/>
      <c r="B199" s="2"/>
      <c r="C199" s="2"/>
      <c r="D199" s="2"/>
      <c r="E199" s="2"/>
      <c r="F199" s="2"/>
      <c r="G199" s="1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2"/>
      <c r="B200" s="2"/>
      <c r="C200" s="2"/>
      <c r="D200" s="2"/>
      <c r="E200" s="2"/>
      <c r="F200" s="2"/>
      <c r="G200" s="1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2"/>
      <c r="B201" s="2"/>
      <c r="C201" s="2"/>
      <c r="D201" s="2"/>
      <c r="E201" s="2"/>
      <c r="F201" s="2"/>
      <c r="G201" s="1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2"/>
      <c r="B202" s="2"/>
      <c r="C202" s="2"/>
      <c r="D202" s="2"/>
      <c r="E202" s="2"/>
      <c r="F202" s="2"/>
      <c r="G202" s="1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2"/>
      <c r="B203" s="2"/>
      <c r="C203" s="2"/>
      <c r="D203" s="2"/>
      <c r="E203" s="2"/>
      <c r="F203" s="2"/>
      <c r="G203" s="1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2"/>
      <c r="B204" s="2"/>
      <c r="C204" s="2"/>
      <c r="D204" s="2"/>
      <c r="E204" s="2"/>
      <c r="F204" s="2"/>
      <c r="G204" s="1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2"/>
      <c r="B205" s="2"/>
      <c r="C205" s="2"/>
      <c r="D205" s="2"/>
      <c r="E205" s="2"/>
      <c r="F205" s="2"/>
      <c r="G205" s="1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2"/>
      <c r="B206" s="2"/>
      <c r="C206" s="2"/>
      <c r="D206" s="2"/>
      <c r="E206" s="2"/>
      <c r="F206" s="2"/>
      <c r="G206" s="1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2"/>
      <c r="B207" s="2"/>
      <c r="C207" s="2"/>
      <c r="D207" s="2"/>
      <c r="E207" s="2"/>
      <c r="F207" s="2"/>
      <c r="G207" s="1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2"/>
      <c r="B208" s="2"/>
      <c r="C208" s="2"/>
      <c r="D208" s="2"/>
      <c r="E208" s="2"/>
      <c r="F208" s="2"/>
      <c r="G208" s="1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2"/>
      <c r="B209" s="2"/>
      <c r="C209" s="2"/>
      <c r="D209" s="2"/>
      <c r="E209" s="2"/>
      <c r="F209" s="2"/>
      <c r="G209" s="1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2"/>
      <c r="B210" s="2"/>
      <c r="C210" s="2"/>
      <c r="D210" s="2"/>
      <c r="E210" s="2"/>
      <c r="F210" s="2"/>
      <c r="G210" s="1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2"/>
      <c r="B211" s="2"/>
      <c r="C211" s="2"/>
      <c r="D211" s="2"/>
      <c r="E211" s="2"/>
      <c r="F211" s="2"/>
      <c r="G211" s="1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2"/>
      <c r="B212" s="2"/>
      <c r="C212" s="2"/>
      <c r="D212" s="2"/>
      <c r="E212" s="2"/>
      <c r="F212" s="2"/>
      <c r="G212" s="1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2"/>
      <c r="B213" s="2"/>
      <c r="C213" s="2"/>
      <c r="D213" s="2"/>
      <c r="E213" s="2"/>
      <c r="F213" s="2"/>
      <c r="G213" s="1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2"/>
      <c r="B214" s="2"/>
      <c r="C214" s="2"/>
      <c r="D214" s="2"/>
      <c r="E214" s="2"/>
      <c r="F214" s="2"/>
      <c r="G214" s="1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2"/>
      <c r="B215" s="2"/>
      <c r="C215" s="2"/>
      <c r="D215" s="2"/>
      <c r="E215" s="2"/>
      <c r="F215" s="2"/>
      <c r="G215" s="1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2"/>
      <c r="B216" s="2"/>
      <c r="C216" s="2"/>
      <c r="D216" s="2"/>
      <c r="E216" s="2"/>
      <c r="F216" s="2"/>
      <c r="G216" s="1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2"/>
      <c r="B217" s="2"/>
      <c r="C217" s="2"/>
      <c r="D217" s="2"/>
      <c r="E217" s="2"/>
      <c r="F217" s="2"/>
      <c r="G217" s="1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2"/>
      <c r="B218" s="2"/>
      <c r="C218" s="2"/>
      <c r="D218" s="2"/>
      <c r="E218" s="2"/>
      <c r="F218" s="2"/>
      <c r="G218" s="1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2"/>
      <c r="B219" s="2"/>
      <c r="C219" s="2"/>
      <c r="D219" s="2"/>
      <c r="E219" s="2"/>
      <c r="F219" s="2"/>
      <c r="G219" s="1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2"/>
      <c r="B220" s="2"/>
      <c r="C220" s="2"/>
      <c r="D220" s="2"/>
      <c r="E220" s="2"/>
      <c r="F220" s="2"/>
      <c r="G220" s="1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2"/>
      <c r="B221" s="2"/>
      <c r="C221" s="2"/>
      <c r="D221" s="2"/>
      <c r="E221" s="2"/>
      <c r="F221" s="2"/>
      <c r="G221" s="1"/>
      <c r="H221" s="2"/>
      <c r="I221" s="2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2"/>
      <c r="B222" s="2"/>
      <c r="C222" s="2"/>
      <c r="D222" s="2"/>
      <c r="E222" s="2"/>
      <c r="F222" s="2"/>
      <c r="G222" s="1"/>
      <c r="H222" s="2"/>
      <c r="I222" s="2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2"/>
      <c r="B223" s="2"/>
      <c r="C223" s="2"/>
      <c r="D223" s="2"/>
      <c r="E223" s="2"/>
      <c r="F223" s="2"/>
      <c r="G223" s="1"/>
      <c r="H223" s="2"/>
      <c r="I223" s="2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2"/>
      <c r="B224" s="2"/>
      <c r="C224" s="2"/>
      <c r="D224" s="2"/>
      <c r="E224" s="2"/>
      <c r="F224" s="2"/>
      <c r="G224" s="1"/>
      <c r="H224" s="2"/>
      <c r="I224" s="2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2"/>
      <c r="B225" s="2"/>
      <c r="C225" s="2"/>
      <c r="D225" s="2"/>
      <c r="E225" s="2"/>
      <c r="F225" s="2"/>
      <c r="G225" s="1"/>
      <c r="H225" s="2"/>
      <c r="I225" s="2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2"/>
      <c r="B226" s="2"/>
      <c r="C226" s="2"/>
      <c r="D226" s="2"/>
      <c r="E226" s="2"/>
      <c r="F226" s="2"/>
      <c r="G226" s="1"/>
      <c r="H226" s="2"/>
      <c r="I226" s="2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2"/>
      <c r="B227" s="2"/>
      <c r="C227" s="2"/>
      <c r="D227" s="2"/>
      <c r="E227" s="2"/>
      <c r="F227" s="2"/>
      <c r="G227" s="1"/>
      <c r="H227" s="2"/>
      <c r="I227" s="2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2"/>
      <c r="B228" s="2"/>
      <c r="C228" s="2"/>
      <c r="D228" s="2"/>
      <c r="E228" s="2"/>
      <c r="F228" s="2"/>
      <c r="G228" s="1"/>
      <c r="H228" s="2"/>
      <c r="I228" s="2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2"/>
      <c r="B229" s="2"/>
      <c r="C229" s="2"/>
      <c r="D229" s="2"/>
      <c r="E229" s="2"/>
      <c r="F229" s="2"/>
      <c r="G229" s="1"/>
      <c r="H229" s="2"/>
      <c r="I229" s="2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2"/>
      <c r="B230" s="2"/>
      <c r="C230" s="2"/>
      <c r="D230" s="2"/>
      <c r="E230" s="2"/>
      <c r="F230" s="2"/>
      <c r="G230" s="1"/>
      <c r="H230" s="2"/>
      <c r="I230" s="2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conditionalFormatting sqref="C5:F6 C7:E7 C9:E18 C24:E25 C31:E1000">
    <cfRule type="cellIs" dxfId="3" priority="1" operator="lessThan">
      <formula>0</formula>
    </cfRule>
  </conditionalFormatting>
  <conditionalFormatting sqref="D11:E16">
    <cfRule type="cellIs" dxfId="2" priority="2" operator="lessThan">
      <formula>0</formula>
    </cfRule>
  </conditionalFormatting>
  <conditionalFormatting sqref="F23">
    <cfRule type="cellIs" dxfId="1" priority="3" operator="lessThan">
      <formula>0</formula>
    </cfRule>
  </conditionalFormatting>
  <conditionalFormatting sqref="F30">
    <cfRule type="cellIs" dxfId="0" priority="4" operator="lessThan">
      <formula>0</formula>
    </cfRule>
  </conditionalFormatting>
  <printOptions horizontalCentered="1"/>
  <pageMargins left="0.25" right="0.25" top="0.25" bottom="0.25" header="0" footer="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1C9B2"/>
    <pageSetUpPr fitToPage="1"/>
  </sheetPr>
  <dimension ref="A1:Z1000"/>
  <sheetViews>
    <sheetView showGridLines="0" workbookViewId="0">
      <selection activeCell="J6" sqref="J6"/>
    </sheetView>
  </sheetViews>
  <sheetFormatPr defaultColWidth="12.59765625" defaultRowHeight="15" customHeight="1"/>
  <cols>
    <col min="1" max="1" width="4.09765625" customWidth="1"/>
    <col min="2" max="2" width="29.09765625" customWidth="1"/>
    <col min="3" max="3" width="19" customWidth="1"/>
    <col min="4" max="4" width="18.8984375" customWidth="1"/>
    <col min="5" max="5" width="21.8984375" hidden="1" customWidth="1"/>
    <col min="6" max="6" width="19" customWidth="1"/>
    <col min="7" max="7" width="4.09765625" customWidth="1"/>
    <col min="8" max="26" width="9" customWidth="1"/>
  </cols>
  <sheetData>
    <row r="1" spans="1:26" ht="20.399999999999999">
      <c r="A1" s="17"/>
      <c r="B1" s="18" t="str">
        <f>COMPANY_NAME</f>
        <v>MOSMH</v>
      </c>
      <c r="C1" s="19"/>
      <c r="D1" s="19"/>
      <c r="E1" s="19"/>
      <c r="F1" s="20"/>
      <c r="G1" s="1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4.4">
      <c r="A2" s="17"/>
      <c r="B2" s="21" t="str">
        <f>BUDGET_Title</f>
        <v>MONTHLY BUDGET</v>
      </c>
      <c r="C2" s="22"/>
      <c r="D2" s="22"/>
      <c r="E2" s="22"/>
      <c r="F2" s="22"/>
      <c r="G2" s="2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23"/>
      <c r="B3" s="23"/>
      <c r="C3" s="23"/>
      <c r="D3" s="23"/>
      <c r="E3" s="23"/>
      <c r="F3" s="23"/>
      <c r="G3" s="2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>
      <c r="A4" s="23"/>
      <c r="B4" s="4" t="s">
        <v>26</v>
      </c>
      <c r="C4" s="4" t="s">
        <v>2</v>
      </c>
      <c r="D4" s="4" t="s">
        <v>4</v>
      </c>
      <c r="E4" s="4" t="s">
        <v>16</v>
      </c>
      <c r="F4" s="4" t="s">
        <v>5</v>
      </c>
      <c r="G4" s="24"/>
      <c r="H4" s="1"/>
      <c r="I4" s="27" t="s">
        <v>48</v>
      </c>
      <c r="J4" s="2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>
      <c r="A5" s="23"/>
      <c r="B5" s="1" t="s">
        <v>27</v>
      </c>
      <c r="C5" s="6">
        <v>3000</v>
      </c>
      <c r="D5" s="6">
        <v>2500</v>
      </c>
      <c r="E5" s="16">
        <f>Expenses!$D5+(10^-6)*ROW(Expenses!$D5)</f>
        <v>2500.0000049999999</v>
      </c>
      <c r="F5" s="25">
        <f>Expenses!$C5-Expenses!$D5</f>
        <v>500</v>
      </c>
      <c r="G5" s="2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>
      <c r="A6" s="23"/>
      <c r="B6" s="1" t="s">
        <v>28</v>
      </c>
      <c r="C6" s="6">
        <v>2000</v>
      </c>
      <c r="D6" s="6"/>
      <c r="E6" s="16">
        <f>Expenses!$D6+(10^-6)*ROW(Expenses!$D6)</f>
        <v>6.0000000000000002E-6</v>
      </c>
      <c r="F6" s="8"/>
      <c r="G6" s="2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23"/>
      <c r="B7" s="1" t="s">
        <v>29</v>
      </c>
      <c r="C7" s="6">
        <v>1500</v>
      </c>
      <c r="D7" s="6">
        <v>2175</v>
      </c>
      <c r="E7" s="16">
        <f>Expenses!$D7+(10^-6)*ROW(Expenses!$D7)</f>
        <v>2175.0000070000001</v>
      </c>
      <c r="F7" s="8"/>
      <c r="G7" s="2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>
      <c r="A8" s="23"/>
      <c r="B8" s="1" t="s">
        <v>30</v>
      </c>
      <c r="C8" s="6">
        <v>2000</v>
      </c>
      <c r="D8" s="6">
        <v>1500</v>
      </c>
      <c r="E8" s="16">
        <f>Expenses!$D8+(10^-6)*ROW(Expenses!$D8)</f>
        <v>1500.000008</v>
      </c>
      <c r="F8" s="8"/>
      <c r="G8" s="2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>
      <c r="A9" s="23"/>
      <c r="B9" s="1" t="s">
        <v>31</v>
      </c>
      <c r="C9" s="6">
        <v>1000</v>
      </c>
      <c r="D9" s="6"/>
      <c r="E9" s="16">
        <f>Expenses!$D9+(10^-6)*ROW(Expenses!$D9)</f>
        <v>9.0000000000000002E-6</v>
      </c>
      <c r="F9" s="8"/>
      <c r="G9" s="2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>
      <c r="A10" s="23"/>
      <c r="B10" s="1" t="s">
        <v>32</v>
      </c>
      <c r="C10" s="6">
        <v>500</v>
      </c>
      <c r="D10" s="6">
        <v>525</v>
      </c>
      <c r="E10" s="16">
        <f>Expenses!$D10+(10^-6)*ROW(Expenses!$D10)</f>
        <v>525.00000999999997</v>
      </c>
      <c r="F10" s="8"/>
      <c r="G10" s="2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>
      <c r="A11" s="23"/>
      <c r="B11" s="1" t="s">
        <v>33</v>
      </c>
      <c r="C11" s="6">
        <v>1300</v>
      </c>
      <c r="D11" s="6"/>
      <c r="E11" s="16">
        <f>Expenses!$D11+(10^-6)*ROW(Expenses!$D11)</f>
        <v>1.1E-5</v>
      </c>
      <c r="F11" s="8"/>
      <c r="G11" s="26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>
      <c r="A12" s="23"/>
      <c r="B12" s="1" t="s">
        <v>34</v>
      </c>
      <c r="C12" s="6">
        <v>2000</v>
      </c>
      <c r="D12" s="6">
        <v>2200</v>
      </c>
      <c r="E12" s="16">
        <f>Expenses!$D12+(10^-6)*ROW(Expenses!$D12)</f>
        <v>2200.000012</v>
      </c>
      <c r="F12" s="8"/>
      <c r="G12" s="26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>
      <c r="A13" s="23"/>
      <c r="B13" s="1" t="s">
        <v>35</v>
      </c>
      <c r="C13" s="6">
        <v>1000</v>
      </c>
      <c r="D13" s="6"/>
      <c r="E13" s="16">
        <f>Expenses!$D13+(10^-6)*ROW(Expenses!$D13)</f>
        <v>1.2999999999999999E-5</v>
      </c>
      <c r="F13" s="8"/>
      <c r="G13" s="2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customHeight="1">
      <c r="A14" s="23"/>
      <c r="B14" s="1" t="s">
        <v>36</v>
      </c>
      <c r="C14" s="6">
        <v>4500</v>
      </c>
      <c r="D14" s="6">
        <v>4600</v>
      </c>
      <c r="E14" s="16">
        <f>Expenses!$D14+(10^-6)*ROW(Expenses!$D14)</f>
        <v>4600.0000140000002</v>
      </c>
      <c r="F14" s="8"/>
      <c r="G14" s="2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>
      <c r="A15" s="23"/>
      <c r="B15" s="1" t="s">
        <v>37</v>
      </c>
      <c r="C15" s="6">
        <v>800</v>
      </c>
      <c r="D15" s="6">
        <v>750</v>
      </c>
      <c r="E15" s="16">
        <f>Expenses!$D15+(10^-6)*ROW(Expenses!$D15)</f>
        <v>750.00001499999996</v>
      </c>
      <c r="F15" s="8"/>
      <c r="G15" s="2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>
      <c r="A16" s="23"/>
      <c r="B16" s="1" t="s">
        <v>38</v>
      </c>
      <c r="C16" s="6">
        <v>400</v>
      </c>
      <c r="D16" s="6">
        <v>350</v>
      </c>
      <c r="E16" s="16">
        <f>Expenses!$D16+(10^-6)*ROW(Expenses!$D16)</f>
        <v>350.00001600000002</v>
      </c>
      <c r="F16" s="8"/>
      <c r="G16" s="2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>
      <c r="A17" s="23"/>
      <c r="B17" s="1" t="s">
        <v>39</v>
      </c>
      <c r="C17" s="6">
        <v>4100</v>
      </c>
      <c r="D17" s="6"/>
      <c r="E17" s="16">
        <f>Expenses!$D17+(10^-6)*ROW(Expenses!$D17)</f>
        <v>1.7E-5</v>
      </c>
      <c r="F17" s="8"/>
      <c r="G17" s="2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>
      <c r="A18" s="23"/>
      <c r="B18" s="1" t="s">
        <v>40</v>
      </c>
      <c r="C18" s="6">
        <v>350</v>
      </c>
      <c r="D18" s="6">
        <v>400</v>
      </c>
      <c r="E18" s="16">
        <f>Expenses!$D18+(10^-6)*ROW(Expenses!$D18)</f>
        <v>400.00001800000001</v>
      </c>
      <c r="F18" s="8"/>
      <c r="G18" s="2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>
      <c r="A19" s="23"/>
      <c r="B19" s="1" t="s">
        <v>41</v>
      </c>
      <c r="C19" s="6">
        <v>900</v>
      </c>
      <c r="D19" s="6">
        <v>840</v>
      </c>
      <c r="E19" s="16">
        <f>Expenses!$D19+(10^-6)*ROW(Expenses!$D19)</f>
        <v>840.00001899999995</v>
      </c>
      <c r="F19" s="8"/>
      <c r="G19" s="2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>
      <c r="A20" s="23"/>
      <c r="B20" s="1" t="s">
        <v>42</v>
      </c>
      <c r="C20" s="6">
        <v>5000</v>
      </c>
      <c r="D20" s="6">
        <v>4500</v>
      </c>
      <c r="E20" s="16">
        <f>Expenses!$D20+(10^-6)*ROW(Expenses!$D20)</f>
        <v>4500.0000200000004</v>
      </c>
      <c r="F20" s="8"/>
      <c r="G20" s="2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>
      <c r="A21" s="23"/>
      <c r="B21" s="1" t="s">
        <v>43</v>
      </c>
      <c r="C21" s="6">
        <v>3000</v>
      </c>
      <c r="D21" s="6">
        <v>3200</v>
      </c>
      <c r="E21" s="16">
        <f>Expenses!$D21+(10^-6)*ROW(Expenses!$D21)</f>
        <v>3200.0000209999998</v>
      </c>
      <c r="F21" s="8"/>
      <c r="G21" s="2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customHeight="1">
      <c r="A22" s="23"/>
      <c r="B22" s="1" t="s">
        <v>44</v>
      </c>
      <c r="C22" s="6">
        <v>250</v>
      </c>
      <c r="D22" s="6"/>
      <c r="E22" s="16">
        <f>Expenses!$D22+(10^-6)*ROW(Expenses!$D22)</f>
        <v>2.1999999999999999E-5</v>
      </c>
      <c r="F22" s="8"/>
      <c r="G22" s="2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>
      <c r="A23" s="23"/>
      <c r="B23" s="1" t="s">
        <v>45</v>
      </c>
      <c r="C23" s="6">
        <v>1400</v>
      </c>
      <c r="D23" s="6">
        <v>1385</v>
      </c>
      <c r="E23" s="16">
        <f>Expenses!$D23+(10^-6)*ROW(Expenses!$D23)</f>
        <v>1385.0000230000001</v>
      </c>
      <c r="F23" s="8"/>
      <c r="G23" s="2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>
      <c r="A24" s="23"/>
      <c r="B24" s="1" t="s">
        <v>46</v>
      </c>
      <c r="C24" s="6">
        <v>1000</v>
      </c>
      <c r="D24" s="6">
        <v>750</v>
      </c>
      <c r="E24" s="16">
        <f>Expenses!$D24+(10^-6)*ROW(Expenses!$D24)</f>
        <v>750.00002400000005</v>
      </c>
      <c r="F24" s="8"/>
      <c r="G24" s="2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 hidden="1" customHeight="1">
      <c r="A25" s="23"/>
      <c r="B25" s="1" t="s">
        <v>47</v>
      </c>
      <c r="C25" s="14">
        <f>SUBTOTAL(109,Expenses!$C$5:$C$24)</f>
        <v>36000</v>
      </c>
      <c r="D25" s="14">
        <f>SUBTOTAL(109,Expenses!$D$5:$D$24)</f>
        <v>25675</v>
      </c>
      <c r="E25" s="16"/>
      <c r="F25" s="16">
        <f>SUBTOTAL(109,Expenses!$F$5:$F$24)</f>
        <v>500</v>
      </c>
      <c r="G25" s="2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" customHeight="1">
      <c r="A26" s="23"/>
      <c r="B26" s="23"/>
      <c r="C26" s="23"/>
      <c r="D26" s="23"/>
      <c r="E26" s="23"/>
      <c r="F26" s="23"/>
      <c r="G26" s="2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>
      <c r="A27" s="23"/>
      <c r="B27" s="23"/>
      <c r="C27" s="23"/>
      <c r="D27" s="23"/>
      <c r="E27" s="23"/>
      <c r="F27" s="23"/>
      <c r="G27" s="2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" customHeight="1">
      <c r="A28" s="23"/>
      <c r="B28" s="23"/>
      <c r="C28" s="23"/>
      <c r="D28" s="23"/>
      <c r="E28" s="23"/>
      <c r="F28" s="23"/>
      <c r="G28" s="2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" customHeight="1">
      <c r="A29" s="23"/>
      <c r="B29" s="23"/>
      <c r="C29" s="23"/>
      <c r="D29" s="23"/>
      <c r="E29" s="23"/>
      <c r="F29" s="23"/>
      <c r="G29" s="2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" customHeight="1">
      <c r="A30" s="23"/>
      <c r="B30" s="23"/>
      <c r="C30" s="23"/>
      <c r="D30" s="23"/>
      <c r="E30" s="23"/>
      <c r="F30" s="23"/>
      <c r="G30" s="2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0" customHeight="1">
      <c r="A31" s="23"/>
      <c r="B31" s="23"/>
      <c r="C31" s="23"/>
      <c r="D31" s="23"/>
      <c r="E31" s="23"/>
      <c r="F31" s="23"/>
      <c r="G31" s="2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" customHeight="1">
      <c r="A32" s="23"/>
      <c r="B32" s="23"/>
      <c r="C32" s="23"/>
      <c r="D32" s="23"/>
      <c r="E32" s="23"/>
      <c r="F32" s="23"/>
      <c r="G32" s="2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" customHeight="1">
      <c r="A33" s="23"/>
      <c r="B33" s="23"/>
      <c r="C33" s="23"/>
      <c r="D33" s="23"/>
      <c r="E33" s="23"/>
      <c r="F33" s="23"/>
      <c r="G33" s="2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0" customHeight="1">
      <c r="A34" s="23"/>
      <c r="B34" s="23"/>
      <c r="C34" s="23"/>
      <c r="D34" s="23"/>
      <c r="E34" s="23"/>
      <c r="F34" s="23"/>
      <c r="G34" s="2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0" customHeight="1">
      <c r="A35" s="23"/>
      <c r="B35" s="23"/>
      <c r="C35" s="23"/>
      <c r="D35" s="23"/>
      <c r="E35" s="23"/>
      <c r="F35" s="23"/>
      <c r="G35" s="2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0" customHeight="1">
      <c r="A36" s="23"/>
      <c r="B36" s="23"/>
      <c r="C36" s="23"/>
      <c r="D36" s="23"/>
      <c r="E36" s="23"/>
      <c r="F36" s="23"/>
      <c r="G36" s="2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0" customHeight="1">
      <c r="A37" s="23"/>
      <c r="B37" s="23"/>
      <c r="C37" s="23"/>
      <c r="D37" s="23"/>
      <c r="E37" s="23"/>
      <c r="F37" s="23"/>
      <c r="G37" s="2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0" customHeight="1">
      <c r="A38" s="23"/>
      <c r="B38" s="23"/>
      <c r="C38" s="23"/>
      <c r="D38" s="23"/>
      <c r="E38" s="23"/>
      <c r="F38" s="23"/>
      <c r="G38" s="2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0" customHeight="1">
      <c r="A39" s="23"/>
      <c r="B39" s="23"/>
      <c r="C39" s="23"/>
      <c r="D39" s="23"/>
      <c r="E39" s="23"/>
      <c r="F39" s="23"/>
      <c r="G39" s="2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0" customHeight="1">
      <c r="A40" s="23"/>
      <c r="B40" s="23"/>
      <c r="C40" s="23"/>
      <c r="D40" s="23"/>
      <c r="E40" s="23"/>
      <c r="F40" s="23"/>
      <c r="G40" s="2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0" customHeight="1">
      <c r="A41" s="23"/>
      <c r="B41" s="23"/>
      <c r="C41" s="23"/>
      <c r="D41" s="23"/>
      <c r="E41" s="23"/>
      <c r="F41" s="23"/>
      <c r="G41" s="2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0" customHeight="1">
      <c r="A42" s="23"/>
      <c r="B42" s="23"/>
      <c r="C42" s="23"/>
      <c r="D42" s="23"/>
      <c r="E42" s="23"/>
      <c r="F42" s="23"/>
      <c r="G42" s="2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0" customHeight="1">
      <c r="A43" s="23"/>
      <c r="B43" s="23"/>
      <c r="C43" s="23"/>
      <c r="D43" s="23"/>
      <c r="E43" s="23"/>
      <c r="F43" s="23"/>
      <c r="G43" s="2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0" customHeight="1">
      <c r="A44" s="23"/>
      <c r="B44" s="23"/>
      <c r="C44" s="23"/>
      <c r="D44" s="23"/>
      <c r="E44" s="23"/>
      <c r="F44" s="23"/>
      <c r="G44" s="2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0" customHeight="1">
      <c r="A45" s="23"/>
      <c r="B45" s="23"/>
      <c r="C45" s="23"/>
      <c r="D45" s="23"/>
      <c r="E45" s="23"/>
      <c r="F45" s="23"/>
      <c r="G45" s="2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0" customHeight="1">
      <c r="A46" s="23"/>
      <c r="B46" s="23"/>
      <c r="C46" s="23"/>
      <c r="D46" s="23"/>
      <c r="E46" s="23"/>
      <c r="F46" s="23"/>
      <c r="G46" s="2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0" customHeight="1">
      <c r="A47" s="23"/>
      <c r="B47" s="23"/>
      <c r="C47" s="23"/>
      <c r="D47" s="23"/>
      <c r="E47" s="23"/>
      <c r="F47" s="23"/>
      <c r="G47" s="2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0" customHeight="1">
      <c r="A48" s="23"/>
      <c r="B48" s="23"/>
      <c r="C48" s="23"/>
      <c r="D48" s="23"/>
      <c r="E48" s="23"/>
      <c r="F48" s="23"/>
      <c r="G48" s="2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0" customHeight="1">
      <c r="A49" s="23"/>
      <c r="B49" s="23"/>
      <c r="C49" s="23"/>
      <c r="D49" s="23"/>
      <c r="E49" s="23"/>
      <c r="F49" s="23"/>
      <c r="G49" s="2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0" customHeight="1">
      <c r="A50" s="23"/>
      <c r="B50" s="23"/>
      <c r="C50" s="23"/>
      <c r="D50" s="23"/>
      <c r="E50" s="23"/>
      <c r="F50" s="23"/>
      <c r="G50" s="2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0" customHeight="1">
      <c r="A51" s="23"/>
      <c r="B51" s="23"/>
      <c r="C51" s="23"/>
      <c r="D51" s="23"/>
      <c r="E51" s="23"/>
      <c r="F51" s="23"/>
      <c r="G51" s="2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0" customHeight="1">
      <c r="A52" s="23"/>
      <c r="B52" s="23"/>
      <c r="C52" s="23"/>
      <c r="D52" s="23"/>
      <c r="E52" s="23"/>
      <c r="F52" s="23"/>
      <c r="G52" s="2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0" customHeight="1">
      <c r="A53" s="23"/>
      <c r="B53" s="23"/>
      <c r="C53" s="23"/>
      <c r="D53" s="23"/>
      <c r="E53" s="23"/>
      <c r="F53" s="23"/>
      <c r="G53" s="2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0" customHeight="1">
      <c r="A54" s="23"/>
      <c r="B54" s="23"/>
      <c r="C54" s="23"/>
      <c r="D54" s="23"/>
      <c r="E54" s="23"/>
      <c r="F54" s="23"/>
      <c r="G54" s="2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0" customHeight="1">
      <c r="A55" s="23"/>
      <c r="B55" s="23"/>
      <c r="C55" s="23"/>
      <c r="D55" s="23"/>
      <c r="E55" s="23"/>
      <c r="F55" s="23"/>
      <c r="G55" s="2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0" customHeight="1">
      <c r="A56" s="23"/>
      <c r="B56" s="23"/>
      <c r="C56" s="23"/>
      <c r="D56" s="23"/>
      <c r="E56" s="23"/>
      <c r="F56" s="23"/>
      <c r="G56" s="2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0" customHeight="1">
      <c r="A57" s="23"/>
      <c r="B57" s="23"/>
      <c r="C57" s="23"/>
      <c r="D57" s="23"/>
      <c r="E57" s="23"/>
      <c r="F57" s="23"/>
      <c r="G57" s="2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0" customHeight="1">
      <c r="A58" s="23"/>
      <c r="B58" s="23"/>
      <c r="C58" s="23"/>
      <c r="D58" s="23"/>
      <c r="E58" s="23"/>
      <c r="F58" s="23"/>
      <c r="G58" s="2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0" customHeight="1">
      <c r="A59" s="23"/>
      <c r="B59" s="23"/>
      <c r="C59" s="23"/>
      <c r="D59" s="23"/>
      <c r="E59" s="23"/>
      <c r="F59" s="23"/>
      <c r="G59" s="2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0" customHeight="1">
      <c r="A60" s="23"/>
      <c r="B60" s="23"/>
      <c r="C60" s="23"/>
      <c r="D60" s="23"/>
      <c r="E60" s="23"/>
      <c r="F60" s="23"/>
      <c r="G60" s="2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0" customHeight="1">
      <c r="A61" s="23"/>
      <c r="B61" s="23"/>
      <c r="C61" s="23"/>
      <c r="D61" s="23"/>
      <c r="E61" s="23"/>
      <c r="F61" s="23"/>
      <c r="G61" s="2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0" customHeight="1">
      <c r="A62" s="23"/>
      <c r="B62" s="23"/>
      <c r="C62" s="23"/>
      <c r="D62" s="23"/>
      <c r="E62" s="23"/>
      <c r="F62" s="23"/>
      <c r="G62" s="2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0" customHeight="1">
      <c r="A63" s="23"/>
      <c r="B63" s="23"/>
      <c r="C63" s="23"/>
      <c r="D63" s="23"/>
      <c r="E63" s="23"/>
      <c r="F63" s="23"/>
      <c r="G63" s="2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0" customHeight="1">
      <c r="A64" s="23"/>
      <c r="B64" s="23"/>
      <c r="C64" s="23"/>
      <c r="D64" s="23"/>
      <c r="E64" s="23"/>
      <c r="F64" s="23"/>
      <c r="G64" s="2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0" customHeight="1">
      <c r="A65" s="23"/>
      <c r="B65" s="23"/>
      <c r="C65" s="23"/>
      <c r="D65" s="23"/>
      <c r="E65" s="23"/>
      <c r="F65" s="23"/>
      <c r="G65" s="2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0" customHeight="1">
      <c r="A66" s="23"/>
      <c r="B66" s="23"/>
      <c r="C66" s="23"/>
      <c r="D66" s="23"/>
      <c r="E66" s="23"/>
      <c r="F66" s="23"/>
      <c r="G66" s="2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0" customHeight="1">
      <c r="A67" s="23"/>
      <c r="B67" s="23"/>
      <c r="C67" s="23"/>
      <c r="D67" s="23"/>
      <c r="E67" s="23"/>
      <c r="F67" s="23"/>
      <c r="G67" s="2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0" customHeight="1">
      <c r="A68" s="23"/>
      <c r="B68" s="23"/>
      <c r="C68" s="23"/>
      <c r="D68" s="23"/>
      <c r="E68" s="23"/>
      <c r="F68" s="23"/>
      <c r="G68" s="2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0" customHeight="1">
      <c r="A69" s="23"/>
      <c r="B69" s="23"/>
      <c r="C69" s="23"/>
      <c r="D69" s="23"/>
      <c r="E69" s="23"/>
      <c r="F69" s="23"/>
      <c r="G69" s="2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0" customHeight="1">
      <c r="A70" s="23"/>
      <c r="B70" s="23"/>
      <c r="C70" s="23"/>
      <c r="D70" s="23"/>
      <c r="E70" s="23"/>
      <c r="F70" s="23"/>
      <c r="G70" s="2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0" customHeight="1">
      <c r="A71" s="23"/>
      <c r="B71" s="23"/>
      <c r="C71" s="23"/>
      <c r="D71" s="23"/>
      <c r="E71" s="23"/>
      <c r="F71" s="23"/>
      <c r="G71" s="2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0" customHeight="1">
      <c r="A72" s="23"/>
      <c r="B72" s="23"/>
      <c r="C72" s="23"/>
      <c r="D72" s="23"/>
      <c r="E72" s="23"/>
      <c r="F72" s="23"/>
      <c r="G72" s="2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0" customHeight="1">
      <c r="A73" s="23"/>
      <c r="B73" s="23"/>
      <c r="C73" s="23"/>
      <c r="D73" s="23"/>
      <c r="E73" s="23"/>
      <c r="F73" s="23"/>
      <c r="G73" s="2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0" customHeight="1">
      <c r="A74" s="23"/>
      <c r="B74" s="23"/>
      <c r="C74" s="23"/>
      <c r="D74" s="23"/>
      <c r="E74" s="23"/>
      <c r="F74" s="23"/>
      <c r="G74" s="2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0" customHeight="1">
      <c r="A75" s="23"/>
      <c r="B75" s="23"/>
      <c r="C75" s="23"/>
      <c r="D75" s="23"/>
      <c r="E75" s="23"/>
      <c r="F75" s="23"/>
      <c r="G75" s="2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0" customHeight="1">
      <c r="A76" s="23"/>
      <c r="B76" s="23"/>
      <c r="C76" s="23"/>
      <c r="D76" s="23"/>
      <c r="E76" s="23"/>
      <c r="F76" s="23"/>
      <c r="G76" s="2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0" customHeight="1">
      <c r="A77" s="23"/>
      <c r="B77" s="23"/>
      <c r="C77" s="23"/>
      <c r="D77" s="23"/>
      <c r="E77" s="23"/>
      <c r="F77" s="23"/>
      <c r="G77" s="2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0" customHeight="1">
      <c r="A78" s="23"/>
      <c r="B78" s="23"/>
      <c r="C78" s="23"/>
      <c r="D78" s="23"/>
      <c r="E78" s="23"/>
      <c r="F78" s="23"/>
      <c r="G78" s="2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0" customHeight="1">
      <c r="A79" s="23"/>
      <c r="B79" s="23"/>
      <c r="C79" s="23"/>
      <c r="D79" s="23"/>
      <c r="E79" s="23"/>
      <c r="F79" s="23"/>
      <c r="G79" s="2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0" customHeight="1">
      <c r="A80" s="23"/>
      <c r="B80" s="23"/>
      <c r="C80" s="23"/>
      <c r="D80" s="23"/>
      <c r="E80" s="23"/>
      <c r="F80" s="23"/>
      <c r="G80" s="2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0" customHeight="1">
      <c r="A81" s="23"/>
      <c r="B81" s="23"/>
      <c r="C81" s="23"/>
      <c r="D81" s="23"/>
      <c r="E81" s="23"/>
      <c r="F81" s="23"/>
      <c r="G81" s="2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0" customHeight="1">
      <c r="A82" s="23"/>
      <c r="B82" s="23"/>
      <c r="C82" s="23"/>
      <c r="D82" s="23"/>
      <c r="E82" s="23"/>
      <c r="F82" s="23"/>
      <c r="G82" s="2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0" customHeight="1">
      <c r="A83" s="23"/>
      <c r="B83" s="23"/>
      <c r="C83" s="23"/>
      <c r="D83" s="23"/>
      <c r="E83" s="23"/>
      <c r="F83" s="23"/>
      <c r="G83" s="2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0" customHeight="1">
      <c r="A84" s="23"/>
      <c r="B84" s="23"/>
      <c r="C84" s="23"/>
      <c r="D84" s="23"/>
      <c r="E84" s="23"/>
      <c r="F84" s="23"/>
      <c r="G84" s="2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0" customHeight="1">
      <c r="A85" s="23"/>
      <c r="B85" s="23"/>
      <c r="C85" s="23"/>
      <c r="D85" s="23"/>
      <c r="E85" s="23"/>
      <c r="F85" s="23"/>
      <c r="G85" s="2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0" customHeight="1">
      <c r="A86" s="23"/>
      <c r="B86" s="23"/>
      <c r="C86" s="23"/>
      <c r="D86" s="23"/>
      <c r="E86" s="23"/>
      <c r="F86" s="23"/>
      <c r="G86" s="2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0" customHeight="1">
      <c r="A87" s="23"/>
      <c r="B87" s="23"/>
      <c r="C87" s="23"/>
      <c r="D87" s="23"/>
      <c r="E87" s="23"/>
      <c r="F87" s="23"/>
      <c r="G87" s="2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0" customHeight="1">
      <c r="A88" s="23"/>
      <c r="B88" s="23"/>
      <c r="C88" s="23"/>
      <c r="D88" s="23"/>
      <c r="E88" s="23"/>
      <c r="F88" s="23"/>
      <c r="G88" s="2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0" customHeight="1">
      <c r="A89" s="23"/>
      <c r="B89" s="23"/>
      <c r="C89" s="23"/>
      <c r="D89" s="23"/>
      <c r="E89" s="23"/>
      <c r="F89" s="23"/>
      <c r="G89" s="2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0" customHeight="1">
      <c r="A90" s="23"/>
      <c r="B90" s="23"/>
      <c r="C90" s="23"/>
      <c r="D90" s="23"/>
      <c r="E90" s="23"/>
      <c r="F90" s="23"/>
      <c r="G90" s="2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0" customHeight="1">
      <c r="A91" s="23"/>
      <c r="B91" s="23"/>
      <c r="C91" s="23"/>
      <c r="D91" s="23"/>
      <c r="E91" s="23"/>
      <c r="F91" s="23"/>
      <c r="G91" s="2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0" customHeight="1">
      <c r="A92" s="23"/>
      <c r="B92" s="23"/>
      <c r="C92" s="23"/>
      <c r="D92" s="23"/>
      <c r="E92" s="23"/>
      <c r="F92" s="23"/>
      <c r="G92" s="2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0" customHeight="1">
      <c r="A93" s="23"/>
      <c r="B93" s="23"/>
      <c r="C93" s="23"/>
      <c r="D93" s="23"/>
      <c r="E93" s="23"/>
      <c r="F93" s="23"/>
      <c r="G93" s="2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0" customHeight="1">
      <c r="A94" s="23"/>
      <c r="B94" s="23"/>
      <c r="C94" s="23"/>
      <c r="D94" s="23"/>
      <c r="E94" s="23"/>
      <c r="F94" s="23"/>
      <c r="G94" s="2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0" customHeight="1">
      <c r="A95" s="23"/>
      <c r="B95" s="23"/>
      <c r="C95" s="23"/>
      <c r="D95" s="23"/>
      <c r="E95" s="23"/>
      <c r="F95" s="23"/>
      <c r="G95" s="2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0" customHeight="1">
      <c r="A96" s="23"/>
      <c r="B96" s="23"/>
      <c r="C96" s="23"/>
      <c r="D96" s="23"/>
      <c r="E96" s="23"/>
      <c r="F96" s="23"/>
      <c r="G96" s="2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0" customHeight="1">
      <c r="A97" s="23"/>
      <c r="B97" s="23"/>
      <c r="C97" s="23"/>
      <c r="D97" s="23"/>
      <c r="E97" s="23"/>
      <c r="F97" s="23"/>
      <c r="G97" s="2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0" customHeight="1">
      <c r="A98" s="23"/>
      <c r="B98" s="23"/>
      <c r="C98" s="23"/>
      <c r="D98" s="23"/>
      <c r="E98" s="23"/>
      <c r="F98" s="23"/>
      <c r="G98" s="2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0" customHeight="1">
      <c r="A99" s="23"/>
      <c r="B99" s="23"/>
      <c r="C99" s="23"/>
      <c r="D99" s="23"/>
      <c r="E99" s="23"/>
      <c r="F99" s="23"/>
      <c r="G99" s="2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0" customHeight="1">
      <c r="A100" s="23"/>
      <c r="B100" s="23"/>
      <c r="C100" s="23"/>
      <c r="D100" s="23"/>
      <c r="E100" s="23"/>
      <c r="F100" s="23"/>
      <c r="G100" s="2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0" customHeight="1">
      <c r="A101" s="23"/>
      <c r="B101" s="23"/>
      <c r="C101" s="23"/>
      <c r="D101" s="23"/>
      <c r="E101" s="23"/>
      <c r="F101" s="23"/>
      <c r="G101" s="2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0" customHeight="1">
      <c r="A102" s="23"/>
      <c r="B102" s="23"/>
      <c r="C102" s="23"/>
      <c r="D102" s="23"/>
      <c r="E102" s="23"/>
      <c r="F102" s="23"/>
      <c r="G102" s="2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0" customHeight="1">
      <c r="A103" s="23"/>
      <c r="B103" s="23"/>
      <c r="C103" s="23"/>
      <c r="D103" s="23"/>
      <c r="E103" s="23"/>
      <c r="F103" s="23"/>
      <c r="G103" s="2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0" customHeight="1">
      <c r="A104" s="23"/>
      <c r="B104" s="23"/>
      <c r="C104" s="23"/>
      <c r="D104" s="23"/>
      <c r="E104" s="23"/>
      <c r="F104" s="23"/>
      <c r="G104" s="2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0" customHeight="1">
      <c r="A105" s="23"/>
      <c r="B105" s="23"/>
      <c r="C105" s="23"/>
      <c r="D105" s="23"/>
      <c r="E105" s="23"/>
      <c r="F105" s="23"/>
      <c r="G105" s="2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0" customHeight="1">
      <c r="A106" s="23"/>
      <c r="B106" s="23"/>
      <c r="C106" s="23"/>
      <c r="D106" s="23"/>
      <c r="E106" s="23"/>
      <c r="F106" s="23"/>
      <c r="G106" s="2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0" customHeight="1">
      <c r="A107" s="23"/>
      <c r="B107" s="23"/>
      <c r="C107" s="23"/>
      <c r="D107" s="23"/>
      <c r="E107" s="23"/>
      <c r="F107" s="23"/>
      <c r="G107" s="2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0" customHeight="1">
      <c r="A108" s="23"/>
      <c r="B108" s="23"/>
      <c r="C108" s="23"/>
      <c r="D108" s="23"/>
      <c r="E108" s="23"/>
      <c r="F108" s="23"/>
      <c r="G108" s="2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0" customHeight="1">
      <c r="A109" s="23"/>
      <c r="B109" s="23"/>
      <c r="C109" s="23"/>
      <c r="D109" s="23"/>
      <c r="E109" s="23"/>
      <c r="F109" s="23"/>
      <c r="G109" s="2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0" customHeight="1">
      <c r="A110" s="23"/>
      <c r="B110" s="23"/>
      <c r="C110" s="23"/>
      <c r="D110" s="23"/>
      <c r="E110" s="23"/>
      <c r="F110" s="23"/>
      <c r="G110" s="2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0" customHeight="1">
      <c r="A111" s="23"/>
      <c r="B111" s="23"/>
      <c r="C111" s="23"/>
      <c r="D111" s="23"/>
      <c r="E111" s="23"/>
      <c r="F111" s="23"/>
      <c r="G111" s="2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0" customHeight="1">
      <c r="A112" s="23"/>
      <c r="B112" s="23"/>
      <c r="C112" s="23"/>
      <c r="D112" s="23"/>
      <c r="E112" s="23"/>
      <c r="F112" s="23"/>
      <c r="G112" s="2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0" customHeight="1">
      <c r="A113" s="23"/>
      <c r="B113" s="23"/>
      <c r="C113" s="23"/>
      <c r="D113" s="23"/>
      <c r="E113" s="23"/>
      <c r="F113" s="23"/>
      <c r="G113" s="2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0" customHeight="1">
      <c r="A114" s="23"/>
      <c r="B114" s="23"/>
      <c r="C114" s="23"/>
      <c r="D114" s="23"/>
      <c r="E114" s="23"/>
      <c r="F114" s="23"/>
      <c r="G114" s="2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0" customHeight="1">
      <c r="A115" s="23"/>
      <c r="B115" s="23"/>
      <c r="C115" s="23"/>
      <c r="D115" s="23"/>
      <c r="E115" s="23"/>
      <c r="F115" s="23"/>
      <c r="G115" s="2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0" customHeight="1">
      <c r="A116" s="23"/>
      <c r="B116" s="23"/>
      <c r="C116" s="23"/>
      <c r="D116" s="23"/>
      <c r="E116" s="23"/>
      <c r="F116" s="23"/>
      <c r="G116" s="2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0" customHeight="1">
      <c r="A117" s="23"/>
      <c r="B117" s="23"/>
      <c r="C117" s="23"/>
      <c r="D117" s="23"/>
      <c r="E117" s="23"/>
      <c r="F117" s="23"/>
      <c r="G117" s="2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0" customHeight="1">
      <c r="A118" s="23"/>
      <c r="B118" s="23"/>
      <c r="C118" s="23"/>
      <c r="D118" s="23"/>
      <c r="E118" s="23"/>
      <c r="F118" s="23"/>
      <c r="G118" s="2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0" customHeight="1">
      <c r="A119" s="23"/>
      <c r="B119" s="23"/>
      <c r="C119" s="23"/>
      <c r="D119" s="23"/>
      <c r="E119" s="23"/>
      <c r="F119" s="23"/>
      <c r="G119" s="2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0" customHeight="1">
      <c r="A120" s="23"/>
      <c r="B120" s="23"/>
      <c r="C120" s="23"/>
      <c r="D120" s="23"/>
      <c r="E120" s="23"/>
      <c r="F120" s="23"/>
      <c r="G120" s="2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0" customHeight="1">
      <c r="A121" s="23"/>
      <c r="B121" s="23"/>
      <c r="C121" s="23"/>
      <c r="D121" s="23"/>
      <c r="E121" s="23"/>
      <c r="F121" s="23"/>
      <c r="G121" s="2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0" customHeight="1">
      <c r="A122" s="23"/>
      <c r="B122" s="23"/>
      <c r="C122" s="23"/>
      <c r="D122" s="23"/>
      <c r="E122" s="23"/>
      <c r="F122" s="23"/>
      <c r="G122" s="2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0" customHeight="1">
      <c r="A123" s="23"/>
      <c r="B123" s="23"/>
      <c r="C123" s="23"/>
      <c r="D123" s="23"/>
      <c r="E123" s="23"/>
      <c r="F123" s="23"/>
      <c r="G123" s="2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0" customHeight="1">
      <c r="A124" s="23"/>
      <c r="B124" s="23"/>
      <c r="C124" s="23"/>
      <c r="D124" s="23"/>
      <c r="E124" s="23"/>
      <c r="F124" s="23"/>
      <c r="G124" s="2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0" customHeight="1">
      <c r="A125" s="23"/>
      <c r="B125" s="23"/>
      <c r="C125" s="23"/>
      <c r="D125" s="23"/>
      <c r="E125" s="23"/>
      <c r="F125" s="23"/>
      <c r="G125" s="2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0" customHeight="1">
      <c r="A126" s="23"/>
      <c r="B126" s="23"/>
      <c r="C126" s="23"/>
      <c r="D126" s="23"/>
      <c r="E126" s="23"/>
      <c r="F126" s="23"/>
      <c r="G126" s="2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0" customHeight="1">
      <c r="A127" s="23"/>
      <c r="B127" s="23"/>
      <c r="C127" s="23"/>
      <c r="D127" s="23"/>
      <c r="E127" s="23"/>
      <c r="F127" s="23"/>
      <c r="G127" s="2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0" customHeight="1">
      <c r="A128" s="23"/>
      <c r="B128" s="23"/>
      <c r="C128" s="23"/>
      <c r="D128" s="23"/>
      <c r="E128" s="23"/>
      <c r="F128" s="23"/>
      <c r="G128" s="2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0" customHeight="1">
      <c r="A129" s="23"/>
      <c r="B129" s="23"/>
      <c r="C129" s="23"/>
      <c r="D129" s="23"/>
      <c r="E129" s="23"/>
      <c r="F129" s="23"/>
      <c r="G129" s="2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0" customHeight="1">
      <c r="A130" s="23"/>
      <c r="B130" s="23"/>
      <c r="C130" s="23"/>
      <c r="D130" s="23"/>
      <c r="E130" s="23"/>
      <c r="F130" s="23"/>
      <c r="G130" s="2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0" customHeight="1">
      <c r="A131" s="23"/>
      <c r="B131" s="23"/>
      <c r="C131" s="23"/>
      <c r="D131" s="23"/>
      <c r="E131" s="23"/>
      <c r="F131" s="23"/>
      <c r="G131" s="2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0" customHeight="1">
      <c r="A132" s="23"/>
      <c r="B132" s="23"/>
      <c r="C132" s="23"/>
      <c r="D132" s="23"/>
      <c r="E132" s="23"/>
      <c r="F132" s="23"/>
      <c r="G132" s="2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0" customHeight="1">
      <c r="A133" s="23"/>
      <c r="B133" s="23"/>
      <c r="C133" s="23"/>
      <c r="D133" s="23"/>
      <c r="E133" s="23"/>
      <c r="F133" s="23"/>
      <c r="G133" s="2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0" customHeight="1">
      <c r="A134" s="23"/>
      <c r="B134" s="23"/>
      <c r="C134" s="23"/>
      <c r="D134" s="23"/>
      <c r="E134" s="23"/>
      <c r="F134" s="23"/>
      <c r="G134" s="2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0" customHeight="1">
      <c r="A135" s="23"/>
      <c r="B135" s="23"/>
      <c r="C135" s="23"/>
      <c r="D135" s="23"/>
      <c r="E135" s="23"/>
      <c r="F135" s="23"/>
      <c r="G135" s="2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0" customHeight="1">
      <c r="A136" s="23"/>
      <c r="B136" s="23"/>
      <c r="C136" s="23"/>
      <c r="D136" s="23"/>
      <c r="E136" s="23"/>
      <c r="F136" s="23"/>
      <c r="G136" s="2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0" customHeight="1">
      <c r="A137" s="23"/>
      <c r="B137" s="23"/>
      <c r="C137" s="23"/>
      <c r="D137" s="23"/>
      <c r="E137" s="23"/>
      <c r="F137" s="23"/>
      <c r="G137" s="2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0" customHeight="1">
      <c r="A138" s="23"/>
      <c r="B138" s="23"/>
      <c r="C138" s="23"/>
      <c r="D138" s="23"/>
      <c r="E138" s="23"/>
      <c r="F138" s="23"/>
      <c r="G138" s="2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0" customHeight="1">
      <c r="A139" s="23"/>
      <c r="B139" s="23"/>
      <c r="C139" s="23"/>
      <c r="D139" s="23"/>
      <c r="E139" s="23"/>
      <c r="F139" s="23"/>
      <c r="G139" s="2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0" customHeight="1">
      <c r="A140" s="23"/>
      <c r="B140" s="23"/>
      <c r="C140" s="23"/>
      <c r="D140" s="23"/>
      <c r="E140" s="23"/>
      <c r="F140" s="23"/>
      <c r="G140" s="2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0" customHeight="1">
      <c r="A141" s="23"/>
      <c r="B141" s="23"/>
      <c r="C141" s="23"/>
      <c r="D141" s="23"/>
      <c r="E141" s="23"/>
      <c r="F141" s="23"/>
      <c r="G141" s="2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0" customHeight="1">
      <c r="A142" s="23"/>
      <c r="B142" s="23"/>
      <c r="C142" s="23"/>
      <c r="D142" s="23"/>
      <c r="E142" s="23"/>
      <c r="F142" s="23"/>
      <c r="G142" s="2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0" customHeight="1">
      <c r="A143" s="23"/>
      <c r="B143" s="23"/>
      <c r="C143" s="23"/>
      <c r="D143" s="23"/>
      <c r="E143" s="23"/>
      <c r="F143" s="23"/>
      <c r="G143" s="2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0" customHeight="1">
      <c r="A144" s="23"/>
      <c r="B144" s="23"/>
      <c r="C144" s="23"/>
      <c r="D144" s="23"/>
      <c r="E144" s="23"/>
      <c r="F144" s="23"/>
      <c r="G144" s="2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0" customHeight="1">
      <c r="A145" s="23"/>
      <c r="B145" s="23"/>
      <c r="C145" s="23"/>
      <c r="D145" s="23"/>
      <c r="E145" s="23"/>
      <c r="F145" s="23"/>
      <c r="G145" s="2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0" customHeight="1">
      <c r="A146" s="23"/>
      <c r="B146" s="23"/>
      <c r="C146" s="23"/>
      <c r="D146" s="23"/>
      <c r="E146" s="23"/>
      <c r="F146" s="23"/>
      <c r="G146" s="2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0" customHeight="1">
      <c r="A147" s="23"/>
      <c r="B147" s="23"/>
      <c r="C147" s="23"/>
      <c r="D147" s="23"/>
      <c r="E147" s="23"/>
      <c r="F147" s="23"/>
      <c r="G147" s="2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0" customHeight="1">
      <c r="A148" s="23"/>
      <c r="B148" s="23"/>
      <c r="C148" s="23"/>
      <c r="D148" s="23"/>
      <c r="E148" s="23"/>
      <c r="F148" s="23"/>
      <c r="G148" s="2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0" customHeight="1">
      <c r="A149" s="23"/>
      <c r="B149" s="23"/>
      <c r="C149" s="23"/>
      <c r="D149" s="23"/>
      <c r="E149" s="23"/>
      <c r="F149" s="23"/>
      <c r="G149" s="2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0" customHeight="1">
      <c r="A150" s="23"/>
      <c r="B150" s="23"/>
      <c r="C150" s="23"/>
      <c r="D150" s="23"/>
      <c r="E150" s="23"/>
      <c r="F150" s="23"/>
      <c r="G150" s="2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0" customHeight="1">
      <c r="A151" s="23"/>
      <c r="B151" s="23"/>
      <c r="C151" s="23"/>
      <c r="D151" s="23"/>
      <c r="E151" s="23"/>
      <c r="F151" s="23"/>
      <c r="G151" s="2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0" customHeight="1">
      <c r="A152" s="23"/>
      <c r="B152" s="23"/>
      <c r="C152" s="23"/>
      <c r="D152" s="23"/>
      <c r="E152" s="23"/>
      <c r="F152" s="23"/>
      <c r="G152" s="2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0" customHeight="1">
      <c r="A153" s="23"/>
      <c r="B153" s="23"/>
      <c r="C153" s="23"/>
      <c r="D153" s="23"/>
      <c r="E153" s="23"/>
      <c r="F153" s="23"/>
      <c r="G153" s="2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0" customHeight="1">
      <c r="A154" s="23"/>
      <c r="B154" s="23"/>
      <c r="C154" s="23"/>
      <c r="D154" s="23"/>
      <c r="E154" s="23"/>
      <c r="F154" s="23"/>
      <c r="G154" s="2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0" customHeight="1">
      <c r="A155" s="23"/>
      <c r="B155" s="23"/>
      <c r="C155" s="23"/>
      <c r="D155" s="23"/>
      <c r="E155" s="23"/>
      <c r="F155" s="23"/>
      <c r="G155" s="2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0" customHeight="1">
      <c r="A156" s="23"/>
      <c r="B156" s="23"/>
      <c r="C156" s="23"/>
      <c r="D156" s="23"/>
      <c r="E156" s="23"/>
      <c r="F156" s="23"/>
      <c r="G156" s="2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0" customHeight="1">
      <c r="A157" s="23"/>
      <c r="B157" s="23"/>
      <c r="C157" s="23"/>
      <c r="D157" s="23"/>
      <c r="E157" s="23"/>
      <c r="F157" s="23"/>
      <c r="G157" s="2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0" customHeight="1">
      <c r="A158" s="23"/>
      <c r="B158" s="23"/>
      <c r="C158" s="23"/>
      <c r="D158" s="23"/>
      <c r="E158" s="23"/>
      <c r="F158" s="23"/>
      <c r="G158" s="2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0" customHeight="1">
      <c r="A159" s="23"/>
      <c r="B159" s="23"/>
      <c r="C159" s="23"/>
      <c r="D159" s="23"/>
      <c r="E159" s="23"/>
      <c r="F159" s="23"/>
      <c r="G159" s="2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0" customHeight="1">
      <c r="A160" s="23"/>
      <c r="B160" s="23"/>
      <c r="C160" s="23"/>
      <c r="D160" s="23"/>
      <c r="E160" s="23"/>
      <c r="F160" s="23"/>
      <c r="G160" s="2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0" customHeight="1">
      <c r="A161" s="23"/>
      <c r="B161" s="23"/>
      <c r="C161" s="23"/>
      <c r="D161" s="23"/>
      <c r="E161" s="23"/>
      <c r="F161" s="23"/>
      <c r="G161" s="2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0" customHeight="1">
      <c r="A162" s="23"/>
      <c r="B162" s="23"/>
      <c r="C162" s="23"/>
      <c r="D162" s="23"/>
      <c r="E162" s="23"/>
      <c r="F162" s="23"/>
      <c r="G162" s="2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0" customHeight="1">
      <c r="A163" s="23"/>
      <c r="B163" s="23"/>
      <c r="C163" s="23"/>
      <c r="D163" s="23"/>
      <c r="E163" s="23"/>
      <c r="F163" s="23"/>
      <c r="G163" s="2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0" customHeight="1">
      <c r="A164" s="23"/>
      <c r="B164" s="23"/>
      <c r="C164" s="23"/>
      <c r="D164" s="23"/>
      <c r="E164" s="23"/>
      <c r="F164" s="23"/>
      <c r="G164" s="2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0" customHeight="1">
      <c r="A165" s="23"/>
      <c r="B165" s="23"/>
      <c r="C165" s="23"/>
      <c r="D165" s="23"/>
      <c r="E165" s="23"/>
      <c r="F165" s="23"/>
      <c r="G165" s="2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0" customHeight="1">
      <c r="A166" s="23"/>
      <c r="B166" s="23"/>
      <c r="C166" s="23"/>
      <c r="D166" s="23"/>
      <c r="E166" s="23"/>
      <c r="F166" s="23"/>
      <c r="G166" s="2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0" customHeight="1">
      <c r="A167" s="23"/>
      <c r="B167" s="23"/>
      <c r="C167" s="23"/>
      <c r="D167" s="23"/>
      <c r="E167" s="23"/>
      <c r="F167" s="23"/>
      <c r="G167" s="2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0" customHeight="1">
      <c r="A168" s="23"/>
      <c r="B168" s="23"/>
      <c r="C168" s="23"/>
      <c r="D168" s="23"/>
      <c r="E168" s="23"/>
      <c r="F168" s="23"/>
      <c r="G168" s="2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0" customHeight="1">
      <c r="A169" s="23"/>
      <c r="B169" s="23"/>
      <c r="C169" s="23"/>
      <c r="D169" s="23"/>
      <c r="E169" s="23"/>
      <c r="F169" s="23"/>
      <c r="G169" s="2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0" customHeight="1">
      <c r="A170" s="23"/>
      <c r="B170" s="23"/>
      <c r="C170" s="23"/>
      <c r="D170" s="23"/>
      <c r="E170" s="23"/>
      <c r="F170" s="23"/>
      <c r="G170" s="2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0" customHeight="1">
      <c r="A171" s="23"/>
      <c r="B171" s="23"/>
      <c r="C171" s="23"/>
      <c r="D171" s="23"/>
      <c r="E171" s="23"/>
      <c r="F171" s="23"/>
      <c r="G171" s="2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0" customHeight="1">
      <c r="A172" s="23"/>
      <c r="B172" s="23"/>
      <c r="C172" s="23"/>
      <c r="D172" s="23"/>
      <c r="E172" s="23"/>
      <c r="F172" s="23"/>
      <c r="G172" s="2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0" customHeight="1">
      <c r="A173" s="23"/>
      <c r="B173" s="23"/>
      <c r="C173" s="23"/>
      <c r="D173" s="23"/>
      <c r="E173" s="23"/>
      <c r="F173" s="23"/>
      <c r="G173" s="2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0" customHeight="1">
      <c r="A174" s="23"/>
      <c r="B174" s="23"/>
      <c r="C174" s="23"/>
      <c r="D174" s="23"/>
      <c r="E174" s="23"/>
      <c r="F174" s="23"/>
      <c r="G174" s="2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0" customHeight="1">
      <c r="A175" s="23"/>
      <c r="B175" s="23"/>
      <c r="C175" s="23"/>
      <c r="D175" s="23"/>
      <c r="E175" s="23"/>
      <c r="F175" s="23"/>
      <c r="G175" s="2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0" customHeight="1">
      <c r="A176" s="23"/>
      <c r="B176" s="23"/>
      <c r="C176" s="23"/>
      <c r="D176" s="23"/>
      <c r="E176" s="23"/>
      <c r="F176" s="23"/>
      <c r="G176" s="2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0" customHeight="1">
      <c r="A177" s="23"/>
      <c r="B177" s="23"/>
      <c r="C177" s="23"/>
      <c r="D177" s="23"/>
      <c r="E177" s="23"/>
      <c r="F177" s="23"/>
      <c r="G177" s="2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0" customHeight="1">
      <c r="A178" s="23"/>
      <c r="B178" s="23"/>
      <c r="C178" s="23"/>
      <c r="D178" s="23"/>
      <c r="E178" s="23"/>
      <c r="F178" s="23"/>
      <c r="G178" s="2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0" customHeight="1">
      <c r="A179" s="23"/>
      <c r="B179" s="23"/>
      <c r="C179" s="23"/>
      <c r="D179" s="23"/>
      <c r="E179" s="23"/>
      <c r="F179" s="23"/>
      <c r="G179" s="2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0" customHeight="1">
      <c r="A180" s="23"/>
      <c r="B180" s="23"/>
      <c r="C180" s="23"/>
      <c r="D180" s="23"/>
      <c r="E180" s="23"/>
      <c r="F180" s="23"/>
      <c r="G180" s="2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0" customHeight="1">
      <c r="A181" s="23"/>
      <c r="B181" s="23"/>
      <c r="C181" s="23"/>
      <c r="D181" s="23"/>
      <c r="E181" s="23"/>
      <c r="F181" s="23"/>
      <c r="G181" s="2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0" customHeight="1">
      <c r="A182" s="23"/>
      <c r="B182" s="23"/>
      <c r="C182" s="23"/>
      <c r="D182" s="23"/>
      <c r="E182" s="23"/>
      <c r="F182" s="23"/>
      <c r="G182" s="2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0" customHeight="1">
      <c r="A183" s="23"/>
      <c r="B183" s="23"/>
      <c r="C183" s="23"/>
      <c r="D183" s="23"/>
      <c r="E183" s="23"/>
      <c r="F183" s="23"/>
      <c r="G183" s="2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0" customHeight="1">
      <c r="A184" s="23"/>
      <c r="B184" s="23"/>
      <c r="C184" s="23"/>
      <c r="D184" s="23"/>
      <c r="E184" s="23"/>
      <c r="F184" s="23"/>
      <c r="G184" s="2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0" customHeight="1">
      <c r="A185" s="23"/>
      <c r="B185" s="23"/>
      <c r="C185" s="23"/>
      <c r="D185" s="23"/>
      <c r="E185" s="23"/>
      <c r="F185" s="23"/>
      <c r="G185" s="2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0" customHeight="1">
      <c r="A186" s="23"/>
      <c r="B186" s="23"/>
      <c r="C186" s="23"/>
      <c r="D186" s="23"/>
      <c r="E186" s="23"/>
      <c r="F186" s="23"/>
      <c r="G186" s="2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0" customHeight="1">
      <c r="A187" s="23"/>
      <c r="B187" s="23"/>
      <c r="C187" s="23"/>
      <c r="D187" s="23"/>
      <c r="E187" s="23"/>
      <c r="F187" s="23"/>
      <c r="G187" s="2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0" customHeight="1">
      <c r="A188" s="23"/>
      <c r="B188" s="23"/>
      <c r="C188" s="23"/>
      <c r="D188" s="23"/>
      <c r="E188" s="23"/>
      <c r="F188" s="23"/>
      <c r="G188" s="2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0" customHeight="1">
      <c r="A189" s="23"/>
      <c r="B189" s="23"/>
      <c r="C189" s="23"/>
      <c r="D189" s="23"/>
      <c r="E189" s="23"/>
      <c r="F189" s="23"/>
      <c r="G189" s="2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0" customHeight="1">
      <c r="A190" s="23"/>
      <c r="B190" s="23"/>
      <c r="C190" s="23"/>
      <c r="D190" s="23"/>
      <c r="E190" s="23"/>
      <c r="F190" s="23"/>
      <c r="G190" s="2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0" customHeight="1">
      <c r="A191" s="23"/>
      <c r="B191" s="23"/>
      <c r="C191" s="23"/>
      <c r="D191" s="23"/>
      <c r="E191" s="23"/>
      <c r="F191" s="23"/>
      <c r="G191" s="2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0" customHeight="1">
      <c r="A192" s="23"/>
      <c r="B192" s="23"/>
      <c r="C192" s="23"/>
      <c r="D192" s="23"/>
      <c r="E192" s="23"/>
      <c r="F192" s="23"/>
      <c r="G192" s="2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0" customHeight="1">
      <c r="A193" s="23"/>
      <c r="B193" s="23"/>
      <c r="C193" s="23"/>
      <c r="D193" s="23"/>
      <c r="E193" s="23"/>
      <c r="F193" s="23"/>
      <c r="G193" s="2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0" customHeight="1">
      <c r="A194" s="23"/>
      <c r="B194" s="23"/>
      <c r="C194" s="23"/>
      <c r="D194" s="23"/>
      <c r="E194" s="23"/>
      <c r="F194" s="23"/>
      <c r="G194" s="2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0" customHeight="1">
      <c r="A195" s="23"/>
      <c r="B195" s="23"/>
      <c r="C195" s="23"/>
      <c r="D195" s="23"/>
      <c r="E195" s="23"/>
      <c r="F195" s="23"/>
      <c r="G195" s="2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0" customHeight="1">
      <c r="A196" s="23"/>
      <c r="B196" s="23"/>
      <c r="C196" s="23"/>
      <c r="D196" s="23"/>
      <c r="E196" s="23"/>
      <c r="F196" s="23"/>
      <c r="G196" s="2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0" customHeight="1">
      <c r="A197" s="23"/>
      <c r="B197" s="23"/>
      <c r="C197" s="23"/>
      <c r="D197" s="23"/>
      <c r="E197" s="23"/>
      <c r="F197" s="23"/>
      <c r="G197" s="2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0" customHeight="1">
      <c r="A198" s="23"/>
      <c r="B198" s="23"/>
      <c r="C198" s="23"/>
      <c r="D198" s="23"/>
      <c r="E198" s="23"/>
      <c r="F198" s="23"/>
      <c r="G198" s="2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0" customHeight="1">
      <c r="A199" s="23"/>
      <c r="B199" s="23"/>
      <c r="C199" s="23"/>
      <c r="D199" s="23"/>
      <c r="E199" s="23"/>
      <c r="F199" s="23"/>
      <c r="G199" s="2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0" customHeight="1">
      <c r="A200" s="23"/>
      <c r="B200" s="23"/>
      <c r="C200" s="23"/>
      <c r="D200" s="23"/>
      <c r="E200" s="23"/>
      <c r="F200" s="23"/>
      <c r="G200" s="2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0" customHeight="1">
      <c r="A201" s="23"/>
      <c r="B201" s="23"/>
      <c r="C201" s="23"/>
      <c r="D201" s="23"/>
      <c r="E201" s="23"/>
      <c r="F201" s="23"/>
      <c r="G201" s="2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0" customHeight="1">
      <c r="A202" s="23"/>
      <c r="B202" s="23"/>
      <c r="C202" s="23"/>
      <c r="D202" s="23"/>
      <c r="E202" s="23"/>
      <c r="F202" s="23"/>
      <c r="G202" s="2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0" customHeight="1">
      <c r="A203" s="23"/>
      <c r="B203" s="23"/>
      <c r="C203" s="23"/>
      <c r="D203" s="23"/>
      <c r="E203" s="23"/>
      <c r="F203" s="23"/>
      <c r="G203" s="2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0" customHeight="1">
      <c r="A204" s="23"/>
      <c r="B204" s="23"/>
      <c r="C204" s="23"/>
      <c r="D204" s="23"/>
      <c r="E204" s="23"/>
      <c r="F204" s="23"/>
      <c r="G204" s="2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0" customHeight="1">
      <c r="A205" s="23"/>
      <c r="B205" s="23"/>
      <c r="C205" s="23"/>
      <c r="D205" s="23"/>
      <c r="E205" s="23"/>
      <c r="F205" s="23"/>
      <c r="G205" s="2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0" customHeight="1">
      <c r="A206" s="23"/>
      <c r="B206" s="23"/>
      <c r="C206" s="23"/>
      <c r="D206" s="23"/>
      <c r="E206" s="23"/>
      <c r="F206" s="23"/>
      <c r="G206" s="2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0" customHeight="1">
      <c r="A207" s="23"/>
      <c r="B207" s="23"/>
      <c r="C207" s="23"/>
      <c r="D207" s="23"/>
      <c r="E207" s="23"/>
      <c r="F207" s="23"/>
      <c r="G207" s="2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0" customHeight="1">
      <c r="A208" s="23"/>
      <c r="B208" s="23"/>
      <c r="C208" s="23"/>
      <c r="D208" s="23"/>
      <c r="E208" s="23"/>
      <c r="F208" s="23"/>
      <c r="G208" s="2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0" customHeight="1">
      <c r="A209" s="23"/>
      <c r="B209" s="23"/>
      <c r="C209" s="23"/>
      <c r="D209" s="23"/>
      <c r="E209" s="23"/>
      <c r="F209" s="23"/>
      <c r="G209" s="2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0" customHeight="1">
      <c r="A210" s="23"/>
      <c r="B210" s="23"/>
      <c r="C210" s="23"/>
      <c r="D210" s="23"/>
      <c r="E210" s="23"/>
      <c r="F210" s="23"/>
      <c r="G210" s="2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0" customHeight="1">
      <c r="A211" s="23"/>
      <c r="B211" s="23"/>
      <c r="C211" s="23"/>
      <c r="D211" s="23"/>
      <c r="E211" s="23"/>
      <c r="F211" s="23"/>
      <c r="G211" s="2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0" customHeight="1">
      <c r="A212" s="23"/>
      <c r="B212" s="23"/>
      <c r="C212" s="23"/>
      <c r="D212" s="23"/>
      <c r="E212" s="23"/>
      <c r="F212" s="23"/>
      <c r="G212" s="2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0" customHeight="1">
      <c r="A213" s="23"/>
      <c r="B213" s="23"/>
      <c r="C213" s="23"/>
      <c r="D213" s="23"/>
      <c r="E213" s="23"/>
      <c r="F213" s="23"/>
      <c r="G213" s="2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0" customHeight="1">
      <c r="A214" s="23"/>
      <c r="B214" s="23"/>
      <c r="C214" s="23"/>
      <c r="D214" s="23"/>
      <c r="E214" s="23"/>
      <c r="F214" s="23"/>
      <c r="G214" s="2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0" customHeight="1">
      <c r="A215" s="23"/>
      <c r="B215" s="23"/>
      <c r="C215" s="23"/>
      <c r="D215" s="23"/>
      <c r="E215" s="23"/>
      <c r="F215" s="23"/>
      <c r="G215" s="2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0" customHeight="1">
      <c r="A216" s="23"/>
      <c r="B216" s="23"/>
      <c r="C216" s="23"/>
      <c r="D216" s="23"/>
      <c r="E216" s="23"/>
      <c r="F216" s="23"/>
      <c r="G216" s="2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0" customHeight="1">
      <c r="A217" s="23"/>
      <c r="B217" s="23"/>
      <c r="C217" s="23"/>
      <c r="D217" s="23"/>
      <c r="E217" s="23"/>
      <c r="F217" s="23"/>
      <c r="G217" s="2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0" customHeight="1">
      <c r="A218" s="23"/>
      <c r="B218" s="23"/>
      <c r="C218" s="23"/>
      <c r="D218" s="23"/>
      <c r="E218" s="23"/>
      <c r="F218" s="23"/>
      <c r="G218" s="2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0" customHeight="1">
      <c r="A219" s="23"/>
      <c r="B219" s="23"/>
      <c r="C219" s="23"/>
      <c r="D219" s="23"/>
      <c r="E219" s="23"/>
      <c r="F219" s="23"/>
      <c r="G219" s="2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0" customHeight="1">
      <c r="A220" s="23"/>
      <c r="B220" s="23"/>
      <c r="C220" s="23"/>
      <c r="D220" s="23"/>
      <c r="E220" s="23"/>
      <c r="F220" s="23"/>
      <c r="G220" s="2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0" customHeight="1">
      <c r="A221" s="23"/>
      <c r="B221" s="23"/>
      <c r="C221" s="23"/>
      <c r="D221" s="23"/>
      <c r="E221" s="23"/>
      <c r="F221" s="23"/>
      <c r="G221" s="2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0" customHeight="1">
      <c r="A222" s="23"/>
      <c r="B222" s="23"/>
      <c r="C222" s="23"/>
      <c r="D222" s="23"/>
      <c r="E222" s="23"/>
      <c r="F222" s="23"/>
      <c r="G222" s="2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0" customHeight="1">
      <c r="A223" s="23"/>
      <c r="B223" s="23"/>
      <c r="C223" s="23"/>
      <c r="D223" s="23"/>
      <c r="E223" s="23"/>
      <c r="F223" s="23"/>
      <c r="G223" s="2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0" customHeight="1">
      <c r="A224" s="23"/>
      <c r="B224" s="23"/>
      <c r="C224" s="23"/>
      <c r="D224" s="23"/>
      <c r="E224" s="23"/>
      <c r="F224" s="23"/>
      <c r="G224" s="2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0" customHeight="1">
      <c r="A225" s="23"/>
      <c r="B225" s="23"/>
      <c r="C225" s="23"/>
      <c r="D225" s="23"/>
      <c r="E225" s="23"/>
      <c r="F225" s="23"/>
      <c r="G225" s="2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left="0.25" right="0.25" top="0.25" bottom="0.25" header="0" footer="0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Expenses</vt:lpstr>
      <vt:lpstr>BUDGET_Title</vt:lpstr>
      <vt:lpstr>COMPANY_NAME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cp:lastModifiedBy>Admin</cp:lastModifiedBy>
  <dcterms:modified xsi:type="dcterms:W3CDTF">2024-08-09T03:59:32Z</dcterms:modified>
</cp:coreProperties>
</file>