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filterPrivacy="1" codeName="ThisWorkbook"/>
  <xr:revisionPtr revIDLastSave="0" documentId="13_ncr:1_{268D2A9F-C413-440B-A6AA-B3AE1E8458A1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Your Expenses" sheetId="3" r:id="rId1"/>
    <sheet name="Report" sheetId="5" r:id="rId2"/>
    <sheet name="Sheet1" sheetId="6" state="veryHidden" r:id="rId3"/>
  </sheets>
  <definedNames>
    <definedName name="Dates">'Your Expenses'!$B$4:$B$25</definedName>
    <definedName name="End_Date">Report!$F$3</definedName>
    <definedName name="Food_Category">Report!$B$9:$B$16</definedName>
    <definedName name="Places">Report!$B$23:$B$28</definedName>
    <definedName name="_xlnm.Print_Area" localSheetId="1">Report!$A$1:$I$35</definedName>
    <definedName name="_xlnm.Print_Area" localSheetId="0">'Your Expenses'!$B$3:$H$26</definedName>
    <definedName name="Start_Date">Report!$C$3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" i="3" l="1"/>
  <c r="C3" i="5"/>
  <c r="F3" i="5"/>
  <c r="B25" i="3"/>
  <c r="G25" i="3"/>
  <c r="B24" i="3" l="1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C22" i="5" l="1"/>
  <c r="C16" i="5"/>
  <c r="C10" i="5"/>
  <c r="C28" i="5"/>
  <c r="G24" i="3"/>
  <c r="G23" i="3"/>
  <c r="G22" i="3"/>
  <c r="G21" i="3"/>
  <c r="G20" i="3"/>
  <c r="G19" i="3"/>
  <c r="G18" i="3"/>
  <c r="G17" i="3"/>
  <c r="C27" i="5" s="1"/>
  <c r="G16" i="3"/>
  <c r="C23" i="5" s="1"/>
  <c r="G15" i="3"/>
  <c r="G14" i="3"/>
  <c r="G13" i="3"/>
  <c r="G12" i="3"/>
  <c r="G11" i="3"/>
  <c r="C12" i="5" s="1"/>
  <c r="G10" i="3"/>
  <c r="G9" i="3"/>
  <c r="C26" i="5" s="1"/>
  <c r="G8" i="3"/>
  <c r="C9" i="5" s="1"/>
  <c r="G7" i="3"/>
  <c r="C13" i="5" s="1"/>
  <c r="G6" i="3"/>
  <c r="C14" i="5" s="1"/>
  <c r="G5" i="3"/>
  <c r="G4" i="3"/>
  <c r="C24" i="5" l="1"/>
  <c r="G26" i="3"/>
  <c r="C25" i="5"/>
  <c r="C15" i="5"/>
  <c r="C11" i="5"/>
  <c r="C29" i="5" l="1"/>
  <c r="C17" i="5"/>
</calcChain>
</file>

<file path=xl/sharedStrings.xml><?xml version="1.0" encoding="utf-8"?>
<sst xmlns="http://schemas.openxmlformats.org/spreadsheetml/2006/main" count="111" uniqueCount="46">
  <si>
    <t>Category</t>
  </si>
  <si>
    <t>Date</t>
  </si>
  <si>
    <t>Sweets</t>
  </si>
  <si>
    <t>Drinks</t>
  </si>
  <si>
    <t>Alcohol</t>
  </si>
  <si>
    <t>Coffee shops</t>
  </si>
  <si>
    <t>Fast Food</t>
  </si>
  <si>
    <t>Other</t>
  </si>
  <si>
    <t>Meat</t>
  </si>
  <si>
    <t>Ready Meals</t>
  </si>
  <si>
    <t>Where</t>
  </si>
  <si>
    <t>Places List</t>
  </si>
  <si>
    <t>What</t>
  </si>
  <si>
    <t>Candies</t>
  </si>
  <si>
    <t>Total</t>
  </si>
  <si>
    <t>Coke</t>
  </si>
  <si>
    <t>Meal</t>
  </si>
  <si>
    <t>Beef</t>
  </si>
  <si>
    <t>Whisky</t>
  </si>
  <si>
    <t>Grocery</t>
  </si>
  <si>
    <t>Market</t>
  </si>
  <si>
    <t>Home Delivery</t>
  </si>
  <si>
    <t>Soda</t>
  </si>
  <si>
    <t>Fruits &amp; Vegetables</t>
  </si>
  <si>
    <t>Apples</t>
  </si>
  <si>
    <t>Water</t>
  </si>
  <si>
    <t>Chocolate</t>
  </si>
  <si>
    <t>Beer</t>
  </si>
  <si>
    <t>Rice</t>
  </si>
  <si>
    <t>Bananas</t>
  </si>
  <si>
    <t>Bread</t>
  </si>
  <si>
    <t>Start Day</t>
  </si>
  <si>
    <t>End Day</t>
  </si>
  <si>
    <t>Food Category</t>
  </si>
  <si>
    <t>Expenses</t>
  </si>
  <si>
    <t>Restaurant</t>
  </si>
  <si>
    <t>Expenses by Food Category</t>
  </si>
  <si>
    <t>Buns</t>
  </si>
  <si>
    <t>Expenses by Places</t>
  </si>
  <si>
    <t xml:space="preserve">Check your expenses in choosen period. </t>
  </si>
  <si>
    <t>How 
many</t>
  </si>
  <si>
    <t>Price 
per item</t>
  </si>
  <si>
    <t>Price 
(sum)</t>
  </si>
  <si>
    <t>Estimated</t>
  </si>
  <si>
    <t>Actual</t>
  </si>
  <si>
    <t>Fruits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</si>
</sst>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0.0"/>
    <numFmt numFmtId="165" formatCode="_-* #,##0.00\ [$zł-415]_-;\-* #,##0.00\ [$zł-415]_-;_-* &quot;-&quot;??\ [$zł-415]_-;_-@_-"/>
    <numFmt numFmtId="166" formatCode="_-* #,##0.00\ [$zł-415]_-;\-* #,##0.00\ [$zł-415]_-;_-* &quot;-&quot;?\ [$zł-415]_-;_-@_-"/>
    <numFmt numFmtId="167" formatCode="[$$-409]#,##0.00_ ;\-[$$-409]#,##0.00\ "/>
    <numFmt numFmtId="168" formatCode="[$$-409]#,##0.00"/>
  </numFmts>
  <fonts count="8" x14ac:knownFonts="1">
    <font>
      <sz val="11"/>
      <color theme="1"/>
      <name val="Candara"/>
      <family val="2"/>
      <charset val="238"/>
      <scheme val="minor"/>
    </font>
    <font>
      <b/>
      <sz val="11"/>
      <color theme="1"/>
      <name val="Candara"/>
      <family val="2"/>
      <charset val="238"/>
      <scheme val="minor"/>
    </font>
    <font>
      <b/>
      <sz val="11"/>
      <color theme="0"/>
      <name val="Candara"/>
      <family val="2"/>
      <charset val="238"/>
      <scheme val="minor"/>
    </font>
    <font>
      <sz val="10"/>
      <color theme="1"/>
      <name val="Candara"/>
      <family val="2"/>
      <charset val="238"/>
      <scheme val="minor"/>
    </font>
    <font>
      <b/>
      <sz val="10"/>
      <color theme="1"/>
      <name val="Candara"/>
      <family val="2"/>
      <charset val="238"/>
      <scheme val="minor"/>
    </font>
    <font>
      <sz val="16"/>
      <color theme="1"/>
      <name val="Candara"/>
      <family val="2"/>
      <charset val="238"/>
      <scheme val="minor"/>
    </font>
    <font>
      <b/>
      <sz val="14"/>
      <color theme="1"/>
      <name val="Candara"/>
      <family val="2"/>
      <charset val="238"/>
      <scheme val="minor"/>
    </font>
    <font>
      <b/>
      <sz val="36"/>
      <color rgb="FFC00000"/>
      <name val="Candara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/>
        <bgColor theme="6"/>
      </patternFill>
    </fill>
    <fill>
      <patternFill patternType="solid">
        <fgColor theme="0" tint="-4.9989318521683403E-2"/>
        <bgColor theme="6" tint="0.79992065187536243"/>
      </patternFill>
    </fill>
  </fills>
  <borders count="2">
    <border>
      <left/>
      <right/>
      <top/>
      <bottom/>
      <diagonal/>
    </border>
    <border>
      <left/>
      <right/>
      <top style="double">
        <color theme="6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right"/>
    </xf>
    <xf numFmtId="14" fontId="0" fillId="0" borderId="0" xfId="0" applyNumberFormat="1"/>
    <xf numFmtId="0" fontId="4" fillId="0" borderId="0" xfId="0" applyFont="1"/>
    <xf numFmtId="0" fontId="3" fillId="0" borderId="0" xfId="0" applyFont="1"/>
    <xf numFmtId="168" fontId="3" fillId="0" borderId="0" xfId="0" applyNumberFormat="1" applyFont="1"/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1" fillId="3" borderId="0" xfId="0" applyFont="1" applyFill="1" applyAlignment="1">
      <alignment horizontal="right" vertical="center"/>
    </xf>
    <xf numFmtId="14" fontId="1" fillId="3" borderId="0" xfId="0" applyNumberFormat="1" applyFont="1" applyFill="1" applyAlignment="1">
      <alignment horizontal="left" vertical="center"/>
    </xf>
    <xf numFmtId="0" fontId="0" fillId="3" borderId="0" xfId="0" applyFill="1" applyAlignment="1">
      <alignment vertical="center"/>
    </xf>
    <xf numFmtId="0" fontId="0" fillId="4" borderId="0" xfId="0" applyFill="1"/>
    <xf numFmtId="0" fontId="2" fillId="6" borderId="0" xfId="0" applyFont="1" applyFill="1" applyAlignment="1">
      <alignment horizontal="center" vertical="center"/>
    </xf>
    <xf numFmtId="14" fontId="3" fillId="7" borderId="0" xfId="0" applyNumberFormat="1" applyFont="1" applyFill="1"/>
    <xf numFmtId="0" fontId="3" fillId="7" borderId="0" xfId="0" applyFont="1" applyFill="1"/>
    <xf numFmtId="14" fontId="3" fillId="0" borderId="0" xfId="0" applyNumberFormat="1" applyFont="1"/>
    <xf numFmtId="0" fontId="1" fillId="0" borderId="1" xfId="0" applyFont="1" applyBorder="1"/>
    <xf numFmtId="164" fontId="2" fillId="6" borderId="0" xfId="0" applyNumberFormat="1" applyFont="1" applyFill="1" applyAlignment="1">
      <alignment horizontal="center" vertical="center" wrapText="1"/>
    </xf>
    <xf numFmtId="165" fontId="2" fillId="6" borderId="0" xfId="0" applyNumberFormat="1" applyFont="1" applyFill="1" applyAlignment="1">
      <alignment horizontal="center" vertical="center" wrapText="1"/>
    </xf>
    <xf numFmtId="166" fontId="2" fillId="6" borderId="0" xfId="0" applyNumberFormat="1" applyFont="1" applyFill="1" applyAlignment="1">
      <alignment horizontal="center" vertical="center" wrapText="1"/>
    </xf>
    <xf numFmtId="167" fontId="3" fillId="7" borderId="0" xfId="0" applyNumberFormat="1" applyFont="1" applyFill="1"/>
    <xf numFmtId="167" fontId="3" fillId="0" borderId="0" xfId="0" applyNumberFormat="1" applyFont="1"/>
    <xf numFmtId="167" fontId="1" fillId="0" borderId="1" xfId="0" applyNumberFormat="1" applyFont="1" applyBorder="1"/>
    <xf numFmtId="0" fontId="7" fillId="4" borderId="0" xfId="0" applyFont="1" applyFill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1" fillId="2" borderId="0" xfId="0" applyNumberFormat="1" applyFont="1" applyFill="1" applyAlignment="1">
      <alignment horizontal="center"/>
    </xf>
    <xf numFmtId="14" fontId="2" fillId="5" borderId="0" xfId="0" applyNumberFormat="1" applyFont="1" applyFill="1" applyAlignment="1">
      <alignment horizontal="center"/>
    </xf>
    <xf numFmtId="0" fontId="6" fillId="3" borderId="0" xfId="0" applyFont="1" applyFill="1" applyAlignment="1">
      <alignment horizontal="center" vertical="center"/>
    </xf>
  </cellXfs>
  <cellStyles count="1">
    <cellStyle name="Normal" xfId="0" builtinId="0"/>
  </cellStyles>
  <dxfs count="33">
    <dxf>
      <font>
        <strike val="0"/>
        <outline val="0"/>
        <shadow val="0"/>
        <u val="none"/>
        <vertAlign val="baseline"/>
        <sz val="10"/>
        <color theme="1"/>
        <name val="Candara"/>
        <scheme val="minor"/>
      </font>
      <numFmt numFmtId="168" formatCode="[$$-409]#,##0.00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ndara"/>
        <scheme val="minor"/>
      </font>
      <numFmt numFmtId="168" formatCode="[$$-409]#,##0.00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ndara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ndara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ndara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ndara"/>
        <scheme val="minor"/>
      </font>
    </dxf>
    <dxf>
      <font>
        <b/>
        <strike val="0"/>
        <outline val="0"/>
        <shadow val="0"/>
        <u val="none"/>
        <vertAlign val="baseline"/>
        <sz val="10"/>
        <color theme="1"/>
        <name val="Candara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ndara"/>
        <scheme val="minor"/>
      </font>
      <numFmt numFmtId="168" formatCode="[$$-409]#,##0.00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ndara"/>
        <scheme val="minor"/>
      </font>
      <numFmt numFmtId="168" formatCode="[$$-409]#,##0.00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ndara"/>
        <scheme val="minor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ndara"/>
        <scheme val="minor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ndara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ndara"/>
        <scheme val="minor"/>
      </font>
      <alignment horizontal="general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0"/>
        <color theme="1"/>
        <name val="Candara"/>
        <scheme val="minor"/>
      </font>
      <alignment horizontal="general" vertical="bottom" textRotation="0" wrapText="0" indent="0" justifyLastLine="0" shrinkToFit="0" readingOrder="0"/>
    </dxf>
    <dxf>
      <fill>
        <patternFill patternType="solid">
          <fgColor theme="6" tint="0.79992065187536243"/>
          <bgColor theme="0" tint="-4.9989318521683403E-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6"/>
        </top>
      </border>
    </dxf>
    <dxf>
      <font>
        <b/>
        <color theme="0"/>
      </font>
      <fill>
        <patternFill patternType="solid">
          <fgColor theme="6"/>
          <bgColor theme="6"/>
        </patternFill>
      </fill>
    </dxf>
    <dxf>
      <font>
        <color theme="1"/>
      </font>
      <border diagonalUp="0" diagonalDown="0">
        <left/>
        <right/>
        <top/>
        <bottom/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9"/>
        </top>
      </border>
    </dxf>
    <dxf>
      <font>
        <color theme="0"/>
      </font>
      <fill>
        <patternFill patternType="solid">
          <fgColor theme="9"/>
          <bgColor theme="9"/>
        </patternFill>
      </fill>
    </dxf>
    <dxf>
      <font>
        <color theme="1"/>
      </font>
      <border diagonalUp="0" diagonalDown="0">
        <left/>
        <right/>
        <top/>
        <bottom/>
        <vertical/>
        <horizontal/>
      </border>
    </dxf>
    <dxf>
      <fill>
        <patternFill patternType="solid">
          <fgColor theme="7" tint="0.79998168889431442"/>
          <bgColor theme="7" tint="0.79998168889431442"/>
        </patternFill>
      </fill>
    </dxf>
    <dxf>
      <fill>
        <patternFill patternType="solid">
          <fgColor theme="7" tint="0.79998168889431442"/>
          <bgColor theme="7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thick">
          <color theme="7"/>
        </top>
      </border>
    </dxf>
    <dxf>
      <font>
        <color theme="1"/>
      </font>
      <fill>
        <patternFill patternType="solid">
          <fgColor theme="7"/>
          <bgColor theme="7"/>
        </patternFill>
      </fill>
    </dxf>
    <dxf>
      <font>
        <color theme="1"/>
      </font>
      <border diagonalUp="0" diagonalDown="0">
        <left/>
        <right/>
        <top/>
        <bottom/>
        <vertical/>
        <horizontal/>
      </border>
    </dxf>
  </dxfs>
  <tableStyles count="3" defaultTableStyle="TableStyleMedium2" defaultPivotStyle="PivotStyleLight16">
    <tableStyle name="Expenses by Food Category" pivot="0" count="7" xr9:uid="{00000000-0011-0000-FFFF-FFFF00000000}">
      <tableStyleElement type="wholeTable" dxfId="32"/>
      <tableStyleElement type="headerRow" dxfId="31"/>
      <tableStyleElement type="totalRow" dxfId="30"/>
      <tableStyleElement type="firstColumn" dxfId="29"/>
      <tableStyleElement type="lastColumn" dxfId="28"/>
      <tableStyleElement type="firstRowStripe" dxfId="27"/>
      <tableStyleElement type="firstColumnStripe" dxfId="26"/>
    </tableStyle>
    <tableStyle name="Expenses by Place" pivot="0" count="6" xr9:uid="{00000000-0011-0000-FFFF-FFFF01000000}">
      <tableStyleElement type="wholeTable" dxfId="25"/>
      <tableStyleElement type="headerRow" dxfId="24"/>
      <tableStyleElement type="totalRow" dxfId="23"/>
      <tableStyleElement type="firstColumn" dxfId="22"/>
      <tableStyleElement type="lastColumn" dxfId="21"/>
      <tableStyleElement type="firstRowStripe" dxfId="20"/>
    </tableStyle>
    <tableStyle name="Monthly Expenses" pivot="0" count="6" xr9:uid="{00000000-0011-0000-FFFF-FFFF02000000}">
      <tableStyleElement type="wholeTable" dxfId="19"/>
      <tableStyleElement type="headerRow" dxfId="18"/>
      <tableStyleElement type="totalRow" dxfId="17"/>
      <tableStyleElement type="firstColumn" dxfId="16"/>
      <tableStyleElement type="lastColumn" dxfId="15"/>
      <tableStyleElement type="firstRowStripe" dxfId="14"/>
    </tableStyle>
  </tableStyles>
  <colors>
    <mruColors>
      <color rgb="FF3462CA"/>
      <color rgb="FFCDF1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pl-PL" sz="1200" b="1">
                <a:solidFill>
                  <a:sysClr val="windowText" lastClr="000000"/>
                </a:solidFill>
              </a:rPr>
              <a:t>Expenses</a:t>
            </a:r>
            <a:r>
              <a:rPr lang="pl-PL" sz="1200" b="1" baseline="0">
                <a:solidFill>
                  <a:sysClr val="windowText" lastClr="000000"/>
                </a:solidFill>
              </a:rPr>
              <a:t> by Food</a:t>
            </a:r>
            <a:endParaRPr lang="pl-PL" sz="1200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Report!$C$8</c:f>
              <c:strCache>
                <c:ptCount val="1"/>
                <c:pt idx="0">
                  <c:v>Expenses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vi-V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Report!$B$9:$B$16</c:f>
              <c:strCache>
                <c:ptCount val="8"/>
                <c:pt idx="0">
                  <c:v>Alcohol</c:v>
                </c:pt>
                <c:pt idx="1">
                  <c:v>Bread</c:v>
                </c:pt>
                <c:pt idx="2">
                  <c:v>Drinks</c:v>
                </c:pt>
                <c:pt idx="3">
                  <c:v>Fruits &amp; Vegetables</c:v>
                </c:pt>
                <c:pt idx="4">
                  <c:v>Meat</c:v>
                </c:pt>
                <c:pt idx="5">
                  <c:v>Ready Meals</c:v>
                </c:pt>
                <c:pt idx="6">
                  <c:v>Sweets</c:v>
                </c:pt>
                <c:pt idx="7">
                  <c:v>Other</c:v>
                </c:pt>
              </c:strCache>
            </c:strRef>
          </c:cat>
          <c:val>
            <c:numRef>
              <c:f>Report!$C$9:$C$16</c:f>
              <c:numCache>
                <c:formatCode>[$$-409]#,##0.00</c:formatCode>
                <c:ptCount val="8"/>
                <c:pt idx="0">
                  <c:v>25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18</c:v>
                </c:pt>
                <c:pt idx="5">
                  <c:v>28</c:v>
                </c:pt>
                <c:pt idx="6">
                  <c:v>1.5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62-4312-8C0B-8A7D154760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axId val="208691200"/>
        <c:axId val="208692736"/>
      </c:barChart>
      <c:catAx>
        <c:axId val="20869120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208692736"/>
        <c:crosses val="autoZero"/>
        <c:auto val="1"/>
        <c:lblAlgn val="ctr"/>
        <c:lblOffset val="100"/>
        <c:noMultiLvlLbl val="0"/>
      </c:catAx>
      <c:valAx>
        <c:axId val="208692736"/>
        <c:scaling>
          <c:orientation val="minMax"/>
        </c:scaling>
        <c:delete val="1"/>
        <c:axPos val="t"/>
        <c:numFmt formatCode="[$$-409]#,##0.00" sourceLinked="1"/>
        <c:majorTickMark val="none"/>
        <c:minorTickMark val="none"/>
        <c:tickLblPos val="nextTo"/>
        <c:crossAx val="208691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pl-PL" sz="1200" b="1" i="0" baseline="0">
                <a:solidFill>
                  <a:sysClr val="windowText" lastClr="000000"/>
                </a:solidFill>
                <a:effectLst/>
              </a:rPr>
              <a:t>Expenses by </a:t>
            </a:r>
            <a:r>
              <a:rPr lang="en-US" sz="1200" b="1" i="0" baseline="0">
                <a:solidFill>
                  <a:sysClr val="windowText" lastClr="000000"/>
                </a:solidFill>
                <a:effectLst/>
              </a:rPr>
              <a:t>Places</a:t>
            </a:r>
            <a:endParaRPr lang="pl-PL" sz="1200" b="1">
              <a:solidFill>
                <a:sysClr val="windowText" lastClr="000000"/>
              </a:solidFill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Report!$C$21</c:f>
              <c:strCache>
                <c:ptCount val="1"/>
                <c:pt idx="0">
                  <c:v>Expenses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vi-V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Report!$B$22:$B$28</c:f>
              <c:strCache>
                <c:ptCount val="7"/>
                <c:pt idx="0">
                  <c:v>Market</c:v>
                </c:pt>
                <c:pt idx="1">
                  <c:v>Coffee shops</c:v>
                </c:pt>
                <c:pt idx="2">
                  <c:v>Fast Food</c:v>
                </c:pt>
                <c:pt idx="3">
                  <c:v>Grocery</c:v>
                </c:pt>
                <c:pt idx="4">
                  <c:v>Home Delivery</c:v>
                </c:pt>
                <c:pt idx="5">
                  <c:v>Restaurant</c:v>
                </c:pt>
                <c:pt idx="6">
                  <c:v>Other</c:v>
                </c:pt>
              </c:strCache>
            </c:strRef>
          </c:cat>
          <c:val>
            <c:numRef>
              <c:f>Report!$C$22:$C$28</c:f>
              <c:numCache>
                <c:formatCode>[$$-409]#,##0.00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29</c:v>
                </c:pt>
                <c:pt idx="3">
                  <c:v>44.5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F8-45DA-8106-16A71B11EB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axId val="208722560"/>
        <c:axId val="208417152"/>
      </c:barChart>
      <c:catAx>
        <c:axId val="20872256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208417152"/>
        <c:crosses val="autoZero"/>
        <c:auto val="1"/>
        <c:lblAlgn val="ctr"/>
        <c:lblOffset val="100"/>
        <c:noMultiLvlLbl val="0"/>
      </c:catAx>
      <c:valAx>
        <c:axId val="208417152"/>
        <c:scaling>
          <c:orientation val="minMax"/>
        </c:scaling>
        <c:delete val="1"/>
        <c:axPos val="t"/>
        <c:numFmt formatCode="[$$-409]#,##0.00" sourceLinked="1"/>
        <c:majorTickMark val="none"/>
        <c:minorTickMark val="none"/>
        <c:tickLblPos val="nextTo"/>
        <c:crossAx val="208722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Report!$K$9</c:f>
              <c:strCache>
                <c:ptCount val="1"/>
                <c:pt idx="0">
                  <c:v>Alcohol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Report!$L$8:$M$8</c:f>
              <c:strCache>
                <c:ptCount val="2"/>
                <c:pt idx="0">
                  <c:v>Estimated</c:v>
                </c:pt>
                <c:pt idx="1">
                  <c:v>Actual</c:v>
                </c:pt>
              </c:strCache>
            </c:strRef>
          </c:cat>
          <c:val>
            <c:numRef>
              <c:f>Report!$L$9:$M$9</c:f>
              <c:numCache>
                <c:formatCode>General</c:formatCode>
                <c:ptCount val="2"/>
                <c:pt idx="0">
                  <c:v>25</c:v>
                </c:pt>
                <c:pt idx="1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21-433B-BA5B-A84B73076353}"/>
            </c:ext>
          </c:extLst>
        </c:ser>
        <c:ser>
          <c:idx val="1"/>
          <c:order val="1"/>
          <c:tx>
            <c:strRef>
              <c:f>Report!$K$10</c:f>
              <c:strCache>
                <c:ptCount val="1"/>
                <c:pt idx="0">
                  <c:v>Bread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Report!$L$8:$M$8</c:f>
              <c:strCache>
                <c:ptCount val="2"/>
                <c:pt idx="0">
                  <c:v>Estimated</c:v>
                </c:pt>
                <c:pt idx="1">
                  <c:v>Actual</c:v>
                </c:pt>
              </c:strCache>
            </c:strRef>
          </c:cat>
          <c:val>
            <c:numRef>
              <c:f>Report!$L$10:$M$10</c:f>
              <c:numCache>
                <c:formatCode>General</c:formatCode>
                <c:ptCount val="2"/>
                <c:pt idx="0">
                  <c:v>7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21-433B-BA5B-A84B73076353}"/>
            </c:ext>
          </c:extLst>
        </c:ser>
        <c:ser>
          <c:idx val="2"/>
          <c:order val="2"/>
          <c:tx>
            <c:strRef>
              <c:f>Report!$K$11</c:f>
              <c:strCache>
                <c:ptCount val="1"/>
                <c:pt idx="0">
                  <c:v>Drinks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Report!$L$8:$M$8</c:f>
              <c:strCache>
                <c:ptCount val="2"/>
                <c:pt idx="0">
                  <c:v>Estimated</c:v>
                </c:pt>
                <c:pt idx="1">
                  <c:v>Actual</c:v>
                </c:pt>
              </c:strCache>
            </c:strRef>
          </c:cat>
          <c:val>
            <c:numRef>
              <c:f>Report!$L$11:$M$11</c:f>
              <c:numCache>
                <c:formatCode>General</c:formatCode>
                <c:ptCount val="2"/>
                <c:pt idx="0">
                  <c:v>18</c:v>
                </c:pt>
                <c:pt idx="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1DC-43F3-A2B3-532C3201C6AE}"/>
            </c:ext>
          </c:extLst>
        </c:ser>
        <c:ser>
          <c:idx val="3"/>
          <c:order val="3"/>
          <c:tx>
            <c:strRef>
              <c:f>Report!$K$12</c:f>
              <c:strCache>
                <c:ptCount val="1"/>
                <c:pt idx="0">
                  <c:v>Fruits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Report!$L$8:$M$8</c:f>
              <c:strCache>
                <c:ptCount val="2"/>
                <c:pt idx="0">
                  <c:v>Estimated</c:v>
                </c:pt>
                <c:pt idx="1">
                  <c:v>Actual</c:v>
                </c:pt>
              </c:strCache>
            </c:strRef>
          </c:cat>
          <c:val>
            <c:numRef>
              <c:f>Report!$L$12:$M$12</c:f>
              <c:numCache>
                <c:formatCode>General</c:formatCode>
                <c:ptCount val="2"/>
                <c:pt idx="0">
                  <c:v>10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1DC-43F3-A2B3-532C3201C6AE}"/>
            </c:ext>
          </c:extLst>
        </c:ser>
        <c:ser>
          <c:idx val="4"/>
          <c:order val="4"/>
          <c:tx>
            <c:strRef>
              <c:f>Report!$K$13</c:f>
              <c:strCache>
                <c:ptCount val="1"/>
                <c:pt idx="0">
                  <c:v>Meat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Report!$L$8:$M$8</c:f>
              <c:strCache>
                <c:ptCount val="2"/>
                <c:pt idx="0">
                  <c:v>Estimated</c:v>
                </c:pt>
                <c:pt idx="1">
                  <c:v>Actual</c:v>
                </c:pt>
              </c:strCache>
            </c:strRef>
          </c:cat>
          <c:val>
            <c:numRef>
              <c:f>Report!$L$13:$M$13</c:f>
              <c:numCache>
                <c:formatCode>General</c:formatCode>
                <c:ptCount val="2"/>
                <c:pt idx="0">
                  <c:v>18</c:v>
                </c:pt>
                <c:pt idx="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1DC-43F3-A2B3-532C3201C6AE}"/>
            </c:ext>
          </c:extLst>
        </c:ser>
        <c:ser>
          <c:idx val="5"/>
          <c:order val="5"/>
          <c:tx>
            <c:strRef>
              <c:f>Report!$K$14</c:f>
              <c:strCache>
                <c:ptCount val="1"/>
                <c:pt idx="0">
                  <c:v>Ready Meals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Report!$L$8:$M$8</c:f>
              <c:strCache>
                <c:ptCount val="2"/>
                <c:pt idx="0">
                  <c:v>Estimated</c:v>
                </c:pt>
                <c:pt idx="1">
                  <c:v>Actual</c:v>
                </c:pt>
              </c:strCache>
            </c:strRef>
          </c:cat>
          <c:val>
            <c:numRef>
              <c:f>Report!$L$14:$M$14</c:f>
              <c:numCache>
                <c:formatCode>General</c:formatCode>
                <c:ptCount val="2"/>
                <c:pt idx="0">
                  <c:v>28</c:v>
                </c:pt>
                <c:pt idx="1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1DC-43F3-A2B3-532C3201C6AE}"/>
            </c:ext>
          </c:extLst>
        </c:ser>
        <c:ser>
          <c:idx val="6"/>
          <c:order val="6"/>
          <c:tx>
            <c:strRef>
              <c:f>Report!$K$15</c:f>
              <c:strCache>
                <c:ptCount val="1"/>
                <c:pt idx="0">
                  <c:v>Sweets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Report!$L$8:$M$8</c:f>
              <c:strCache>
                <c:ptCount val="2"/>
                <c:pt idx="0">
                  <c:v>Estimated</c:v>
                </c:pt>
                <c:pt idx="1">
                  <c:v>Actual</c:v>
                </c:pt>
              </c:strCache>
            </c:strRef>
          </c:cat>
          <c:val>
            <c:numRef>
              <c:f>Report!$L$15:$M$15</c:f>
              <c:numCache>
                <c:formatCode>General</c:formatCode>
                <c:ptCount val="2"/>
                <c:pt idx="0">
                  <c:v>18</c:v>
                </c:pt>
                <c:pt idx="1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1DC-43F3-A2B3-532C3201C6AE}"/>
            </c:ext>
          </c:extLst>
        </c:ser>
        <c:ser>
          <c:idx val="7"/>
          <c:order val="7"/>
          <c:tx>
            <c:strRef>
              <c:f>Report!$K$16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Report!$L$8:$M$8</c:f>
              <c:strCache>
                <c:ptCount val="2"/>
                <c:pt idx="0">
                  <c:v>Estimated</c:v>
                </c:pt>
                <c:pt idx="1">
                  <c:v>Actual</c:v>
                </c:pt>
              </c:strCache>
            </c:strRef>
          </c:cat>
          <c:val>
            <c:numRef>
              <c:f>Report!$L$16:$M$16</c:f>
              <c:numCache>
                <c:formatCode>General</c:formatCode>
                <c:ptCount val="2"/>
                <c:pt idx="0">
                  <c:v>15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41DC-43F3-A2B3-532C3201C6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8467840"/>
        <c:axId val="208469376"/>
      </c:barChart>
      <c:catAx>
        <c:axId val="2084678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208469376"/>
        <c:crosses val="autoZero"/>
        <c:auto val="1"/>
        <c:lblAlgn val="ctr"/>
        <c:lblOffset val="100"/>
        <c:noMultiLvlLbl val="0"/>
      </c:catAx>
      <c:valAx>
        <c:axId val="208469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208467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mailto:binhvo2005@gmal.com?subject=efffff" TargetMode="Externa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3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1120588</xdr:colOff>
      <xdr:row>0</xdr:row>
      <xdr:rowOff>246529</xdr:rowOff>
    </xdr:from>
    <xdr:to>
      <xdr:col>5</xdr:col>
      <xdr:colOff>715347</xdr:colOff>
      <xdr:row>0</xdr:row>
      <xdr:rowOff>1243853</xdr:rowOff>
    </xdr:to>
    <xdr:sp macro="" textlink="">
      <xdr:nvSpPr>
        <xdr:cNvPr id="4" name="TextBox 3" descr="Title">
          <a:extLst>
            <a:ext uri="{FF2B5EF4-FFF2-40B4-BE49-F238E27FC236}">
              <a16:creationId xmlns:a16="http://schemas.microsoft.com/office/drawing/2014/main" id="{04A691B5-A1D7-40FF-8C26-770A72953FF2}"/>
            </a:ext>
          </a:extLst>
        </xdr:cNvPr>
        <xdr:cNvSpPr txBox="1"/>
      </xdr:nvSpPr>
      <xdr:spPr>
        <a:xfrm>
          <a:off x="2341344" y="246529"/>
          <a:ext cx="2790493" cy="9973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3600" b="1">
              <a:solidFill>
                <a:srgbClr val="002060"/>
              </a:solidFill>
            </a:rPr>
            <a:t>Your</a:t>
          </a:r>
          <a:r>
            <a:rPr lang="pl-PL" sz="3600" b="1">
              <a:solidFill>
                <a:srgbClr val="002060"/>
              </a:solidFill>
            </a:rPr>
            <a:t> budget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5</xdr:row>
      <xdr:rowOff>680</xdr:rowOff>
    </xdr:from>
    <xdr:to>
      <xdr:col>8</xdr:col>
      <xdr:colOff>0</xdr:colOff>
      <xdr:row>17</xdr:row>
      <xdr:rowOff>0</xdr:rowOff>
    </xdr:to>
    <xdr:graphicFrame macro="">
      <xdr:nvGraphicFramePr>
        <xdr:cNvPr id="3" name="Chart 2" descr="expenses by food category bar chart">
          <a:extLst>
            <a:ext uri="{FF2B5EF4-FFF2-40B4-BE49-F238E27FC236}">
              <a16:creationId xmlns:a16="http://schemas.microsoft.com/office/drawing/2014/main" id="{F0E312D7-61E9-48DB-A761-B1E746D73F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18</xdr:row>
      <xdr:rowOff>0</xdr:rowOff>
    </xdr:from>
    <xdr:to>
      <xdr:col>8</xdr:col>
      <xdr:colOff>0</xdr:colOff>
      <xdr:row>31</xdr:row>
      <xdr:rowOff>0</xdr:rowOff>
    </xdr:to>
    <xdr:graphicFrame macro="">
      <xdr:nvGraphicFramePr>
        <xdr:cNvPr id="2" name="Chart 1" descr="expenses by places bar chart&#10;">
          <a:extLst>
            <a:ext uri="{FF2B5EF4-FFF2-40B4-BE49-F238E27FC236}">
              <a16:creationId xmlns:a16="http://schemas.microsoft.com/office/drawing/2014/main" id="{26E9032B-BA69-4EBD-9665-52D1A8BCA5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1</xdr:colOff>
      <xdr:row>0</xdr:row>
      <xdr:rowOff>0</xdr:rowOff>
    </xdr:from>
    <xdr:to>
      <xdr:col>8</xdr:col>
      <xdr:colOff>27215</xdr:colOff>
      <xdr:row>3</xdr:row>
      <xdr:rowOff>10718</xdr:rowOff>
    </xdr:to>
    <xdr:pic>
      <xdr:nvPicPr>
        <xdr:cNvPr id="5" name="Picture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F8368DD-433E-4411-8A3C-A616774C0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2115" y="0"/>
          <a:ext cx="1028700" cy="1033975"/>
        </a:xfrm>
        <a:prstGeom prst="rect">
          <a:avLst/>
        </a:prstGeom>
        <a:pattFill prst="pct5">
          <a:fgClr>
            <a:schemeClr val="accent1"/>
          </a:fgClr>
          <a:bgClr>
            <a:schemeClr val="bg1"/>
          </a:bgClr>
        </a:pattFill>
      </xdr:spPr>
    </xdr:pic>
    <xdr:clientData/>
  </xdr:twoCellAnchor>
  <xdr:twoCellAnchor>
    <xdr:from>
      <xdr:col>9</xdr:col>
      <xdr:colOff>636814</xdr:colOff>
      <xdr:row>17</xdr:row>
      <xdr:rowOff>168728</xdr:rowOff>
    </xdr:from>
    <xdr:to>
      <xdr:col>13</xdr:col>
      <xdr:colOff>65314</xdr:colOff>
      <xdr:row>30</xdr:row>
      <xdr:rowOff>119743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120E1F4-0454-46A6-AD34-0403AED608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Expenses_By_Food_Cat" displayName="Expenses_By_Food_Cat" ref="B8:C17" totalsRowCount="1" headerRowDxfId="13" dataDxfId="12" totalsRowDxfId="11">
  <autoFilter ref="B8:C16" xr:uid="{00000000-0009-0000-0100-000002000000}"/>
  <tableColumns count="2">
    <tableColumn id="1" xr3:uid="{00000000-0010-0000-0000-000001000000}" name="Food Category" totalsRowLabel="Total" dataDxfId="10" totalsRowDxfId="9"/>
    <tableColumn id="2" xr3:uid="{00000000-0010-0000-0000-000002000000}" name="Expenses" totalsRowFunction="sum" dataDxfId="8" totalsRowDxfId="7">
      <calculatedColumnFormula>SUMIFS('Your Expenses'!$G$4:$G$25,'Your Expenses'!$B$4:$B$25,"&gt;="&amp;Start_Date,'Your Expenses'!$B$4:$B$25,"&lt;="&amp;End_Date,'Your Expenses'!$C$4:$C$25,Expenses_By_Food_Cat[[#This Row],[Food Category]])</calculatedColumnFormula>
    </tableColumn>
  </tableColumns>
  <tableStyleInfo name="Expenses by Food Category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Expenses_by_Places" displayName="Expenses_by_Places" ref="B21:C29" totalsRowCount="1" headerRowDxfId="6" dataDxfId="5" totalsRowDxfId="4">
  <autoFilter ref="B21:C28" xr:uid="{00000000-0009-0000-0100-000003000000}"/>
  <tableColumns count="2">
    <tableColumn id="1" xr3:uid="{00000000-0010-0000-0100-000001000000}" name="Places List" totalsRowLabel="Total" dataDxfId="3" totalsRowDxfId="2"/>
    <tableColumn id="2" xr3:uid="{00000000-0010-0000-0100-000002000000}" name="Expenses" totalsRowFunction="sum" dataDxfId="1" totalsRowDxfId="0">
      <calculatedColumnFormula>SUMIFS('Your Expenses'!$G$4:$G$25,'Your Expenses'!$B$4:$B$25,"&gt;="&amp;Start_Date,'Your Expenses'!$B$4:$B$25,"&lt;="&amp;End_Date,'Your Expenses'!$H$4:$H$25,Expenses_by_Places[[#This Row],[Places List]])</calculatedColumnFormula>
    </tableColumn>
  </tableColumns>
  <tableStyleInfo name="Monthly Expenses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Table4" displayName="Table4" ref="K8:M16" totalsRowShown="0">
  <autoFilter ref="K8:M16" xr:uid="{00000000-0009-0000-0100-000004000000}"/>
  <tableColumns count="3">
    <tableColumn id="1" xr3:uid="{00000000-0010-0000-0200-000001000000}" name="Food Category"/>
    <tableColumn id="2" xr3:uid="{00000000-0010-0000-0200-000002000000}" name="Estimated"/>
    <tableColumn id="3" xr3:uid="{00000000-0010-0000-0200-000003000000}" name="Actual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Custom 4">
      <a:dk1>
        <a:srgbClr val="000000"/>
      </a:dk1>
      <a:lt1>
        <a:srgbClr val="FFFFFF"/>
      </a:lt1>
      <a:dk2>
        <a:srgbClr val="7E8083"/>
      </a:dk2>
      <a:lt2>
        <a:srgbClr val="E4E5E6"/>
      </a:lt2>
      <a:accent1>
        <a:srgbClr val="7AC143"/>
      </a:accent1>
      <a:accent2>
        <a:srgbClr val="00853E"/>
      </a:accent2>
      <a:accent3>
        <a:srgbClr val="008BBC"/>
      </a:accent3>
      <a:accent4>
        <a:srgbClr val="FFC000"/>
      </a:accent4>
      <a:accent5>
        <a:srgbClr val="F47920"/>
      </a:accent5>
      <a:accent6>
        <a:srgbClr val="E51937"/>
      </a:accent6>
      <a:hlink>
        <a:srgbClr val="F47920"/>
      </a:hlink>
      <a:folHlink>
        <a:srgbClr val="954F72"/>
      </a:folHlink>
    </a:clrScheme>
    <a:fontScheme name="Candara">
      <a:majorFont>
        <a:latin typeface="Candara" panose="020E0502030303020204"/>
        <a:ea typeface=""/>
        <a:cs typeface=""/>
        <a:font script="Jpan" typeface="HGｺﾞｼｯｸM"/>
        <a:font script="Hang" typeface="HY엽서L"/>
        <a:font script="Hans" typeface="华文楷体"/>
        <a:font script="Hant" typeface="新細明體"/>
        <a:font script="Arab" typeface="Tahoma"/>
        <a:font script="Hebr" typeface="Miriam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Candara" panose="020E0502030303020204"/>
        <a:ea typeface=""/>
        <a:cs typeface=""/>
        <a:font script="Jpan" typeface="HGｺﾞｼｯｸM"/>
        <a:font script="Hang" typeface="HY엽서L"/>
        <a:font script="Hans" typeface="华文楷体"/>
        <a:font script="Hant" typeface="新細明體"/>
        <a:font script="Arab" typeface="Tahoma"/>
        <a:font script="Hebr" typeface="Miriam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H26"/>
  <sheetViews>
    <sheetView showGridLines="0" tabSelected="1" zoomScaleNormal="100" workbookViewId="0">
      <selection activeCell="B3" sqref="B3:H26"/>
    </sheetView>
  </sheetViews>
  <sheetFormatPr defaultRowHeight="15" x14ac:dyDescent="0.25"/>
  <cols>
    <col min="1" max="1" width="4" customWidth="1"/>
    <col min="2" max="2" width="12" customWidth="1"/>
    <col min="3" max="3" width="18.5" customWidth="1"/>
    <col min="4" max="4" width="11" customWidth="1"/>
    <col min="5" max="5" width="12.375" customWidth="1"/>
    <col min="6" max="6" width="14.25" customWidth="1"/>
    <col min="7" max="7" width="11.375" bestFit="1" customWidth="1"/>
    <col min="8" max="8" width="14.25" customWidth="1"/>
    <col min="10" max="10" width="8"/>
    <col min="11" max="11" width="10.875" customWidth="1"/>
  </cols>
  <sheetData>
    <row r="1" spans="1:8" ht="126.75" customHeight="1" x14ac:dyDescent="0.25">
      <c r="A1" s="11"/>
      <c r="B1" s="11"/>
      <c r="C1" s="11"/>
      <c r="D1" s="11"/>
      <c r="E1" s="11"/>
      <c r="F1" s="11"/>
      <c r="G1" s="23" t="str">
        <f>IF(G26&lt;=15000,"free","blank")</f>
        <v>free</v>
      </c>
      <c r="H1" s="11"/>
    </row>
    <row r="2" spans="1:8" ht="39.75" customHeight="1" x14ac:dyDescent="0.25">
      <c r="B2" s="24"/>
      <c r="C2" s="25"/>
      <c r="D2" s="25"/>
      <c r="E2" s="25"/>
      <c r="F2" s="25"/>
      <c r="G2" s="25"/>
      <c r="H2" s="25"/>
    </row>
    <row r="3" spans="1:8" ht="31.5" customHeight="1" x14ac:dyDescent="0.25">
      <c r="B3" s="12" t="s">
        <v>1</v>
      </c>
      <c r="C3" s="12" t="s">
        <v>0</v>
      </c>
      <c r="D3" s="12" t="s">
        <v>12</v>
      </c>
      <c r="E3" s="17" t="s">
        <v>40</v>
      </c>
      <c r="F3" s="18" t="s">
        <v>41</v>
      </c>
      <c r="G3" s="19" t="s">
        <v>42</v>
      </c>
      <c r="H3" s="12" t="s">
        <v>10</v>
      </c>
    </row>
    <row r="4" spans="1:8" x14ac:dyDescent="0.25">
      <c r="B4" s="13">
        <f ca="1">TODAY()</f>
        <v>45943</v>
      </c>
      <c r="C4" s="14" t="s">
        <v>2</v>
      </c>
      <c r="D4" s="14" t="s">
        <v>13</v>
      </c>
      <c r="E4" s="14">
        <v>0.25</v>
      </c>
      <c r="F4" s="20">
        <v>6</v>
      </c>
      <c r="G4" s="20">
        <f>'Your Expenses'!$F$4:$F$25*'Your Expenses'!$E$4:$E$25</f>
        <v>1.5</v>
      </c>
      <c r="H4" s="14" t="s">
        <v>19</v>
      </c>
    </row>
    <row r="5" spans="1:8" x14ac:dyDescent="0.25">
      <c r="B5" s="15">
        <f t="shared" ref="B5" ca="1" si="0">TODAY()</f>
        <v>45943</v>
      </c>
      <c r="C5" s="4" t="s">
        <v>3</v>
      </c>
      <c r="D5" s="4" t="s">
        <v>15</v>
      </c>
      <c r="E5" s="4">
        <v>1</v>
      </c>
      <c r="F5" s="21">
        <v>1</v>
      </c>
      <c r="G5" s="21">
        <f>'Your Expenses'!$F$4:$F$25*'Your Expenses'!$E$4:$E$25</f>
        <v>1</v>
      </c>
      <c r="H5" s="4" t="s">
        <v>6</v>
      </c>
    </row>
    <row r="6" spans="1:8" x14ac:dyDescent="0.25">
      <c r="B6" s="13">
        <f ca="1">TODAY()-1</f>
        <v>45942</v>
      </c>
      <c r="C6" s="14" t="s">
        <v>9</v>
      </c>
      <c r="D6" s="14" t="s">
        <v>16</v>
      </c>
      <c r="E6" s="14">
        <v>1</v>
      </c>
      <c r="F6" s="20">
        <v>28</v>
      </c>
      <c r="G6" s="20">
        <f>'Your Expenses'!$F$4:$F$25*'Your Expenses'!$E$4:$E$25</f>
        <v>28</v>
      </c>
      <c r="H6" s="14" t="s">
        <v>6</v>
      </c>
    </row>
    <row r="7" spans="1:8" x14ac:dyDescent="0.25">
      <c r="B7" s="15">
        <f ca="1">TODAY()-1</f>
        <v>45942</v>
      </c>
      <c r="C7" s="4" t="s">
        <v>8</v>
      </c>
      <c r="D7" s="4" t="s">
        <v>17</v>
      </c>
      <c r="E7" s="4">
        <v>1.2</v>
      </c>
      <c r="F7" s="21">
        <v>15</v>
      </c>
      <c r="G7" s="21">
        <f>'Your Expenses'!$F$4:$F$25*'Your Expenses'!$E$4:$E$25</f>
        <v>18</v>
      </c>
      <c r="H7" s="4" t="s">
        <v>19</v>
      </c>
    </row>
    <row r="8" spans="1:8" x14ac:dyDescent="0.25">
      <c r="B8" s="13">
        <f ca="1">TODAY()-1</f>
        <v>45942</v>
      </c>
      <c r="C8" s="14" t="s">
        <v>4</v>
      </c>
      <c r="D8" s="14" t="s">
        <v>18</v>
      </c>
      <c r="E8" s="14">
        <v>1</v>
      </c>
      <c r="F8" s="20">
        <v>25</v>
      </c>
      <c r="G8" s="20">
        <f>'Your Expenses'!$F$4:$F$25*'Your Expenses'!$E$4:$E$25</f>
        <v>25</v>
      </c>
      <c r="H8" s="14" t="s">
        <v>19</v>
      </c>
    </row>
    <row r="9" spans="1:8" x14ac:dyDescent="0.25">
      <c r="B9" s="15">
        <f ca="1">TODAY()-2</f>
        <v>45941</v>
      </c>
      <c r="C9" s="4" t="s">
        <v>3</v>
      </c>
      <c r="D9" s="4" t="s">
        <v>22</v>
      </c>
      <c r="E9" s="4">
        <v>6</v>
      </c>
      <c r="F9" s="21">
        <v>1</v>
      </c>
      <c r="G9" s="21">
        <f>'Your Expenses'!$F$4:$F$25*'Your Expenses'!$E$4:$E$25</f>
        <v>6</v>
      </c>
      <c r="H9" s="4" t="s">
        <v>21</v>
      </c>
    </row>
    <row r="10" spans="1:8" x14ac:dyDescent="0.25">
      <c r="B10" s="13">
        <f ca="1">TODAY()-2</f>
        <v>45941</v>
      </c>
      <c r="C10" s="14" t="s">
        <v>9</v>
      </c>
      <c r="D10" s="14" t="s">
        <v>16</v>
      </c>
      <c r="E10" s="14">
        <v>1</v>
      </c>
      <c r="F10" s="20">
        <v>10</v>
      </c>
      <c r="G10" s="20">
        <f>'Your Expenses'!$F$4:$F$25*'Your Expenses'!$E$4:$E$25</f>
        <v>10</v>
      </c>
      <c r="H10" s="14" t="s">
        <v>21</v>
      </c>
    </row>
    <row r="11" spans="1:8" x14ac:dyDescent="0.25">
      <c r="B11" s="15">
        <f ca="1">TODAY()-2</f>
        <v>45941</v>
      </c>
      <c r="C11" s="4" t="s">
        <v>23</v>
      </c>
      <c r="D11" s="4" t="s">
        <v>24</v>
      </c>
      <c r="E11" s="4">
        <v>2</v>
      </c>
      <c r="F11" s="21">
        <v>5</v>
      </c>
      <c r="G11" s="21">
        <f>'Your Expenses'!$F$4:$F$25*'Your Expenses'!$E$4:$E$25</f>
        <v>10</v>
      </c>
      <c r="H11" s="4" t="s">
        <v>21</v>
      </c>
    </row>
    <row r="12" spans="1:8" x14ac:dyDescent="0.25">
      <c r="B12" s="13">
        <f ca="1">TODAY()-2</f>
        <v>45941</v>
      </c>
      <c r="C12" s="14" t="s">
        <v>3</v>
      </c>
      <c r="D12" s="14" t="s">
        <v>25</v>
      </c>
      <c r="E12" s="14">
        <v>1</v>
      </c>
      <c r="F12" s="20">
        <v>1</v>
      </c>
      <c r="G12" s="20">
        <f>'Your Expenses'!$F$4:$F$25*'Your Expenses'!$E$4:$E$25</f>
        <v>1</v>
      </c>
      <c r="H12" s="14" t="s">
        <v>19</v>
      </c>
    </row>
    <row r="13" spans="1:8" x14ac:dyDescent="0.25">
      <c r="B13" s="15">
        <f ca="1">TODAY()-3</f>
        <v>45940</v>
      </c>
      <c r="C13" s="4" t="s">
        <v>3</v>
      </c>
      <c r="D13" s="4" t="s">
        <v>15</v>
      </c>
      <c r="E13" s="4">
        <v>1</v>
      </c>
      <c r="F13" s="21">
        <v>1</v>
      </c>
      <c r="G13" s="21">
        <f>'Your Expenses'!$F$4:$F$25*'Your Expenses'!$E$4:$E$25</f>
        <v>1</v>
      </c>
      <c r="H13" s="4" t="s">
        <v>6</v>
      </c>
    </row>
    <row r="14" spans="1:8" x14ac:dyDescent="0.25">
      <c r="B14" s="13">
        <f ca="1">TODAY()-3</f>
        <v>45940</v>
      </c>
      <c r="C14" s="14" t="s">
        <v>2</v>
      </c>
      <c r="D14" s="14" t="s">
        <v>26</v>
      </c>
      <c r="E14" s="14">
        <v>2</v>
      </c>
      <c r="F14" s="20">
        <v>3</v>
      </c>
      <c r="G14" s="20">
        <f>'Your Expenses'!$F$4:$F$25*'Your Expenses'!$E$4:$E$25</f>
        <v>6</v>
      </c>
      <c r="H14" s="14" t="s">
        <v>19</v>
      </c>
    </row>
    <row r="15" spans="1:8" x14ac:dyDescent="0.25">
      <c r="B15" s="15">
        <f ca="1">TODAY()-3</f>
        <v>45940</v>
      </c>
      <c r="C15" s="4" t="s">
        <v>2</v>
      </c>
      <c r="D15" s="4" t="s">
        <v>13</v>
      </c>
      <c r="E15" s="4">
        <v>5</v>
      </c>
      <c r="F15" s="21">
        <v>1</v>
      </c>
      <c r="G15" s="21">
        <f>'Your Expenses'!$F$4:$F$25*'Your Expenses'!$E$4:$E$25</f>
        <v>5</v>
      </c>
      <c r="H15" s="4" t="s">
        <v>19</v>
      </c>
    </row>
    <row r="16" spans="1:8" x14ac:dyDescent="0.25">
      <c r="B16" s="13">
        <f ca="1">TODAY()-3</f>
        <v>45940</v>
      </c>
      <c r="C16" s="14" t="s">
        <v>3</v>
      </c>
      <c r="D16" s="14" t="s">
        <v>25</v>
      </c>
      <c r="E16" s="14">
        <v>2</v>
      </c>
      <c r="F16" s="20">
        <v>0.75</v>
      </c>
      <c r="G16" s="20">
        <f>'Your Expenses'!$F$4:$F$25*'Your Expenses'!$E$4:$E$25</f>
        <v>1.5</v>
      </c>
      <c r="H16" s="14" t="s">
        <v>5</v>
      </c>
    </row>
    <row r="17" spans="2:8" x14ac:dyDescent="0.25">
      <c r="B17" s="15">
        <f ca="1">TODAY()-4</f>
        <v>45939</v>
      </c>
      <c r="C17" s="4" t="s">
        <v>9</v>
      </c>
      <c r="D17" s="4" t="s">
        <v>28</v>
      </c>
      <c r="E17" s="4">
        <v>1</v>
      </c>
      <c r="F17" s="21">
        <v>3.25</v>
      </c>
      <c r="G17" s="21">
        <f>'Your Expenses'!$F$4:$F$25*'Your Expenses'!$E$4:$E$25</f>
        <v>3.25</v>
      </c>
      <c r="H17" s="4" t="s">
        <v>35</v>
      </c>
    </row>
    <row r="18" spans="2:8" x14ac:dyDescent="0.25">
      <c r="B18" s="13">
        <f ca="1">TODAY()-4</f>
        <v>45939</v>
      </c>
      <c r="C18" s="14" t="s">
        <v>8</v>
      </c>
      <c r="D18" s="14" t="s">
        <v>17</v>
      </c>
      <c r="E18" s="14">
        <v>0.6</v>
      </c>
      <c r="F18" s="20">
        <v>12</v>
      </c>
      <c r="G18" s="20">
        <f>'Your Expenses'!$F$4:$F$25*'Your Expenses'!$E$4:$E$25</f>
        <v>7.1999999999999993</v>
      </c>
      <c r="H18" s="14" t="s">
        <v>19</v>
      </c>
    </row>
    <row r="19" spans="2:8" x14ac:dyDescent="0.25">
      <c r="B19" s="15">
        <f ca="1">TODAY()-4</f>
        <v>45939</v>
      </c>
      <c r="C19" s="4" t="s">
        <v>4</v>
      </c>
      <c r="D19" s="4" t="s">
        <v>27</v>
      </c>
      <c r="E19" s="4">
        <v>1</v>
      </c>
      <c r="F19" s="21">
        <v>2</v>
      </c>
      <c r="G19" s="21">
        <f>'Your Expenses'!$F$4:$F$25*'Your Expenses'!$E$4:$E$25</f>
        <v>2</v>
      </c>
      <c r="H19" s="4" t="s">
        <v>35</v>
      </c>
    </row>
    <row r="20" spans="2:8" x14ac:dyDescent="0.25">
      <c r="B20" s="13">
        <f ca="1">TODAY()-4</f>
        <v>45939</v>
      </c>
      <c r="C20" s="14" t="s">
        <v>3</v>
      </c>
      <c r="D20" s="14" t="s">
        <v>22</v>
      </c>
      <c r="E20" s="14">
        <v>1</v>
      </c>
      <c r="F20" s="20">
        <v>1</v>
      </c>
      <c r="G20" s="20">
        <f>'Your Expenses'!$F$4:$F$25*'Your Expenses'!$E$4:$E$25</f>
        <v>1</v>
      </c>
      <c r="H20" s="14" t="s">
        <v>19</v>
      </c>
    </row>
    <row r="21" spans="2:8" x14ac:dyDescent="0.25">
      <c r="B21" s="15">
        <f ca="1">TODAY()-5</f>
        <v>45938</v>
      </c>
      <c r="C21" s="4" t="s">
        <v>9</v>
      </c>
      <c r="D21" s="4" t="s">
        <v>16</v>
      </c>
      <c r="E21" s="4">
        <v>1</v>
      </c>
      <c r="F21" s="21">
        <v>10</v>
      </c>
      <c r="G21" s="21">
        <f>'Your Expenses'!$F$4:$F$25*'Your Expenses'!$E$4:$E$25</f>
        <v>10</v>
      </c>
      <c r="H21" s="4" t="s">
        <v>6</v>
      </c>
    </row>
    <row r="22" spans="2:8" x14ac:dyDescent="0.25">
      <c r="B22" s="13">
        <f ca="1">TODAY()-5</f>
        <v>45938</v>
      </c>
      <c r="C22" s="14" t="s">
        <v>23</v>
      </c>
      <c r="D22" s="14" t="s">
        <v>29</v>
      </c>
      <c r="E22" s="14">
        <v>2</v>
      </c>
      <c r="F22" s="20">
        <v>3</v>
      </c>
      <c r="G22" s="20">
        <f>'Your Expenses'!$F$4:$F$25*'Your Expenses'!$E$4:$E$25</f>
        <v>6</v>
      </c>
      <c r="H22" s="14" t="s">
        <v>21</v>
      </c>
    </row>
    <row r="23" spans="2:8" x14ac:dyDescent="0.25">
      <c r="B23" s="15">
        <f ca="1">TODAY()-5</f>
        <v>45938</v>
      </c>
      <c r="C23" s="4" t="s">
        <v>3</v>
      </c>
      <c r="D23" s="4" t="s">
        <v>15</v>
      </c>
      <c r="E23" s="4">
        <v>1</v>
      </c>
      <c r="F23" s="21">
        <v>0.75</v>
      </c>
      <c r="G23" s="21">
        <f>'Your Expenses'!$F$4:$F$25*'Your Expenses'!$E$4:$E$25</f>
        <v>0.75</v>
      </c>
      <c r="H23" s="4" t="s">
        <v>19</v>
      </c>
    </row>
    <row r="24" spans="2:8" x14ac:dyDescent="0.25">
      <c r="B24" s="13">
        <f ca="1">TODAY()-5</f>
        <v>45938</v>
      </c>
      <c r="C24" s="14" t="s">
        <v>4</v>
      </c>
      <c r="D24" s="14" t="s">
        <v>27</v>
      </c>
      <c r="E24" s="14">
        <v>1</v>
      </c>
      <c r="F24" s="20">
        <v>1</v>
      </c>
      <c r="G24" s="20">
        <f>'Your Expenses'!$F$4:$F$25*'Your Expenses'!$E$4:$E$25</f>
        <v>1</v>
      </c>
      <c r="H24" s="14" t="s">
        <v>5</v>
      </c>
    </row>
    <row r="25" spans="2:8" ht="15.75" thickBot="1" x14ac:dyDescent="0.3">
      <c r="B25" s="15">
        <f ca="1">TODAY()-5</f>
        <v>45938</v>
      </c>
      <c r="C25" s="4" t="s">
        <v>30</v>
      </c>
      <c r="D25" s="4" t="s">
        <v>37</v>
      </c>
      <c r="E25" s="4">
        <v>5</v>
      </c>
      <c r="F25" s="21">
        <v>0.2</v>
      </c>
      <c r="G25" s="21">
        <f>'Your Expenses'!$F$4:$F$25*'Your Expenses'!$E$4:$E$25</f>
        <v>1</v>
      </c>
      <c r="H25" s="4" t="s">
        <v>19</v>
      </c>
    </row>
    <row r="26" spans="2:8" ht="15.75" thickTop="1" x14ac:dyDescent="0.25">
      <c r="B26" s="16" t="s">
        <v>14</v>
      </c>
      <c r="C26" s="16"/>
      <c r="D26" s="16"/>
      <c r="E26" s="16"/>
      <c r="F26" s="22"/>
      <c r="G26" s="22">
        <f>SUM(G4:G25)</f>
        <v>146.19999999999999</v>
      </c>
      <c r="H26" s="16"/>
    </row>
  </sheetData>
  <mergeCells count="1">
    <mergeCell ref="B2:H2"/>
  </mergeCells>
  <printOptions gridLines="1"/>
  <pageMargins left="0.7" right="0.7" top="0.75" bottom="0.75" header="0.3" footer="0.3"/>
  <pageSetup scale="88" orientation="portrait" r:id="rId1"/>
  <ignoredErrors>
    <ignoredError sqref="B6:B25" calculatedColumn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M29"/>
  <sheetViews>
    <sheetView showGridLines="0" zoomScaleNormal="100" workbookViewId="0">
      <selection activeCell="N16" sqref="N16"/>
    </sheetView>
  </sheetViews>
  <sheetFormatPr defaultRowHeight="15" x14ac:dyDescent="0.25"/>
  <cols>
    <col min="1" max="1" width="4" customWidth="1"/>
    <col min="2" max="2" width="17.375" customWidth="1"/>
    <col min="3" max="3" width="9" customWidth="1"/>
    <col min="4" max="4" width="5" customWidth="1"/>
    <col min="5" max="5" width="18" customWidth="1"/>
    <col min="6" max="6" width="11.375" customWidth="1"/>
    <col min="8" max="9" width="4" customWidth="1"/>
    <col min="11" max="11" width="16" bestFit="1" customWidth="1"/>
    <col min="12" max="12" width="12.875" customWidth="1"/>
    <col min="13" max="13" width="13.125" customWidth="1"/>
  </cols>
  <sheetData>
    <row r="1" spans="1:13" ht="40.5" customHeight="1" x14ac:dyDescent="0.25">
      <c r="B1" s="28" t="s">
        <v>39</v>
      </c>
      <c r="C1" s="28"/>
      <c r="D1" s="28"/>
      <c r="E1" s="28"/>
      <c r="F1" s="28"/>
    </row>
    <row r="2" spans="1:13" ht="12" customHeight="1" x14ac:dyDescent="0.25">
      <c r="B2" s="6"/>
      <c r="C2" s="6"/>
      <c r="D2" s="6"/>
      <c r="E2" s="6"/>
      <c r="F2" s="6"/>
    </row>
    <row r="3" spans="1:13" ht="28.5" customHeight="1" x14ac:dyDescent="0.25">
      <c r="B3" s="8" t="s">
        <v>31</v>
      </c>
      <c r="C3" s="9">
        <f ca="1">TODAY()-1</f>
        <v>45942</v>
      </c>
      <c r="D3" s="10"/>
      <c r="E3" s="8" t="s">
        <v>32</v>
      </c>
      <c r="F3" s="9">
        <f ca="1">TODAY()</f>
        <v>45943</v>
      </c>
    </row>
    <row r="5" spans="1:13" x14ac:dyDescent="0.25">
      <c r="A5" s="1"/>
      <c r="B5" s="2"/>
      <c r="I5" s="1"/>
    </row>
    <row r="6" spans="1:13" x14ac:dyDescent="0.25">
      <c r="A6" s="1"/>
      <c r="B6" s="26" t="s">
        <v>36</v>
      </c>
      <c r="C6" s="26"/>
      <c r="I6" s="1"/>
    </row>
    <row r="7" spans="1:13" ht="6.75" customHeight="1" x14ac:dyDescent="0.25"/>
    <row r="8" spans="1:13" x14ac:dyDescent="0.25">
      <c r="B8" s="3" t="s">
        <v>33</v>
      </c>
      <c r="C8" s="3" t="s">
        <v>34</v>
      </c>
      <c r="K8" t="s">
        <v>33</v>
      </c>
      <c r="L8" t="s">
        <v>43</v>
      </c>
      <c r="M8" t="s">
        <v>44</v>
      </c>
    </row>
    <row r="9" spans="1:13" x14ac:dyDescent="0.25">
      <c r="B9" s="4" t="s">
        <v>4</v>
      </c>
      <c r="C9" s="5">
        <f ca="1">SUMIFS('Your Expenses'!$G$4:$G$25,'Your Expenses'!$B$4:$B$25,"&gt;="&amp;Start_Date,'Your Expenses'!$B$4:$B$25,"&lt;="&amp;End_Date,'Your Expenses'!$C$4:$C$25,Expenses_By_Food_Cat[[#This Row],[Food Category]])</f>
        <v>25</v>
      </c>
      <c r="K9" t="s">
        <v>4</v>
      </c>
      <c r="L9">
        <v>25</v>
      </c>
      <c r="M9">
        <v>40</v>
      </c>
    </row>
    <row r="10" spans="1:13" x14ac:dyDescent="0.25">
      <c r="B10" s="4" t="s">
        <v>30</v>
      </c>
      <c r="C10" s="5">
        <f ca="1">SUMIFS('Your Expenses'!$G$4:$G$25,'Your Expenses'!$B$4:$B$25,"&gt;="&amp;Start_Date,'Your Expenses'!$B$4:$B$25,"&lt;="&amp;End_Date,'Your Expenses'!$C$4:$C$25,Expenses_By_Food_Cat[[#This Row],[Food Category]])</f>
        <v>0</v>
      </c>
      <c r="K10" t="s">
        <v>30</v>
      </c>
      <c r="L10">
        <v>7</v>
      </c>
      <c r="M10">
        <v>5</v>
      </c>
    </row>
    <row r="11" spans="1:13" x14ac:dyDescent="0.25">
      <c r="B11" s="4" t="s">
        <v>3</v>
      </c>
      <c r="C11" s="5">
        <f ca="1">SUMIFS('Your Expenses'!$G$4:$G$25,'Your Expenses'!$B$4:$B$25,"&gt;="&amp;Start_Date,'Your Expenses'!$B$4:$B$25,"&lt;="&amp;End_Date,'Your Expenses'!$C$4:$C$25,Expenses_By_Food_Cat[[#This Row],[Food Category]])</f>
        <v>1</v>
      </c>
      <c r="K11" t="s">
        <v>3</v>
      </c>
      <c r="L11">
        <v>18</v>
      </c>
      <c r="M11">
        <v>7</v>
      </c>
    </row>
    <row r="12" spans="1:13" x14ac:dyDescent="0.25">
      <c r="B12" s="4" t="s">
        <v>23</v>
      </c>
      <c r="C12" s="5">
        <f ca="1">SUMIFS('Your Expenses'!$G$4:$G$25,'Your Expenses'!$B$4:$B$25,"&gt;="&amp;Start_Date,'Your Expenses'!$B$4:$B$25,"&lt;="&amp;End_Date,'Your Expenses'!$C$4:$C$25,Expenses_By_Food_Cat[[#This Row],[Food Category]])</f>
        <v>0</v>
      </c>
      <c r="K12" t="s">
        <v>45</v>
      </c>
      <c r="L12">
        <v>10</v>
      </c>
      <c r="M12">
        <v>4</v>
      </c>
    </row>
    <row r="13" spans="1:13" x14ac:dyDescent="0.25">
      <c r="B13" s="4" t="s">
        <v>8</v>
      </c>
      <c r="C13" s="5">
        <f ca="1">SUMIFS('Your Expenses'!$G$4:$G$25,'Your Expenses'!$B$4:$B$25,"&gt;="&amp;Start_Date,'Your Expenses'!$B$4:$B$25,"&lt;="&amp;End_Date,'Your Expenses'!$C$4:$C$25,Expenses_By_Food_Cat[[#This Row],[Food Category]])</f>
        <v>18</v>
      </c>
      <c r="K13" t="s">
        <v>8</v>
      </c>
      <c r="L13">
        <v>18</v>
      </c>
      <c r="M13">
        <v>10</v>
      </c>
    </row>
    <row r="14" spans="1:13" x14ac:dyDescent="0.25">
      <c r="B14" s="4" t="s">
        <v>9</v>
      </c>
      <c r="C14" s="5">
        <f ca="1">SUMIFS('Your Expenses'!$G$4:$G$25,'Your Expenses'!$B$4:$B$25,"&gt;="&amp;Start_Date,'Your Expenses'!$B$4:$B$25,"&lt;="&amp;End_Date,'Your Expenses'!$C$4:$C$25,Expenses_By_Food_Cat[[#This Row],[Food Category]])</f>
        <v>28</v>
      </c>
      <c r="K14" t="s">
        <v>9</v>
      </c>
      <c r="L14">
        <v>28</v>
      </c>
      <c r="M14">
        <v>15</v>
      </c>
    </row>
    <row r="15" spans="1:13" x14ac:dyDescent="0.25">
      <c r="B15" s="4" t="s">
        <v>2</v>
      </c>
      <c r="C15" s="5">
        <f ca="1">SUMIFS('Your Expenses'!$G$4:$G$25,'Your Expenses'!$B$4:$B$25,"&gt;="&amp;Start_Date,'Your Expenses'!$B$4:$B$25,"&lt;="&amp;End_Date,'Your Expenses'!$C$4:$C$25,Expenses_By_Food_Cat[[#This Row],[Food Category]])</f>
        <v>1.5</v>
      </c>
      <c r="K15" t="s">
        <v>2</v>
      </c>
      <c r="L15">
        <v>18</v>
      </c>
      <c r="M15">
        <v>20</v>
      </c>
    </row>
    <row r="16" spans="1:13" x14ac:dyDescent="0.25">
      <c r="B16" s="4" t="s">
        <v>7</v>
      </c>
      <c r="C16" s="5">
        <f ca="1">SUMIFS('Your Expenses'!$G$4:$G$25,'Your Expenses'!$B$4:$B$25,"&gt;="&amp;Start_Date,'Your Expenses'!$B$4:$B$25,"&lt;="&amp;End_Date,'Your Expenses'!$C$4:$C$25,Expenses_By_Food_Cat[[#This Row],[Food Category]])</f>
        <v>0</v>
      </c>
      <c r="K16" t="s">
        <v>7</v>
      </c>
      <c r="L16">
        <v>15</v>
      </c>
      <c r="M16">
        <v>6</v>
      </c>
    </row>
    <row r="17" spans="2:3" x14ac:dyDescent="0.25">
      <c r="B17" s="4" t="s">
        <v>14</v>
      </c>
      <c r="C17" s="5">
        <f ca="1">SUBTOTAL(109,Expenses_By_Food_Cat[Expenses])</f>
        <v>73.5</v>
      </c>
    </row>
    <row r="19" spans="2:3" x14ac:dyDescent="0.25">
      <c r="B19" s="27" t="s">
        <v>38</v>
      </c>
      <c r="C19" s="27"/>
    </row>
    <row r="20" spans="2:3" ht="9" customHeight="1" x14ac:dyDescent="0.25"/>
    <row r="21" spans="2:3" x14ac:dyDescent="0.25">
      <c r="B21" s="3" t="s">
        <v>11</v>
      </c>
      <c r="C21" s="3" t="s">
        <v>34</v>
      </c>
    </row>
    <row r="22" spans="2:3" x14ac:dyDescent="0.25">
      <c r="B22" s="4" t="s">
        <v>20</v>
      </c>
      <c r="C22" s="5">
        <f ca="1">SUMIFS('Your Expenses'!$G$4:$G$25,'Your Expenses'!$B$4:$B$25,"&gt;="&amp;Start_Date,'Your Expenses'!$B$4:$B$25,"&lt;="&amp;End_Date,'Your Expenses'!$H$4:$H$25,Expenses_by_Places[[#This Row],[Places List]])</f>
        <v>0</v>
      </c>
    </row>
    <row r="23" spans="2:3" x14ac:dyDescent="0.25">
      <c r="B23" s="7" t="s">
        <v>5</v>
      </c>
      <c r="C23" s="5">
        <f ca="1">SUMIFS('Your Expenses'!$G$4:$G$25,'Your Expenses'!$B$4:$B$25,"&gt;="&amp;Start_Date,'Your Expenses'!$B$4:$B$25,"&lt;="&amp;End_Date,'Your Expenses'!$H$4:$H$25,Expenses_by_Places[[#This Row],[Places List]])</f>
        <v>0</v>
      </c>
    </row>
    <row r="24" spans="2:3" x14ac:dyDescent="0.25">
      <c r="B24" s="7" t="s">
        <v>6</v>
      </c>
      <c r="C24" s="5">
        <f ca="1">SUMIFS('Your Expenses'!$G$4:$G$25,'Your Expenses'!$B$4:$B$25,"&gt;="&amp;Start_Date,'Your Expenses'!$B$4:$B$25,"&lt;="&amp;End_Date,'Your Expenses'!$H$4:$H$25,Expenses_by_Places[[#This Row],[Places List]])</f>
        <v>29</v>
      </c>
    </row>
    <row r="25" spans="2:3" x14ac:dyDescent="0.25">
      <c r="B25" s="7" t="s">
        <v>19</v>
      </c>
      <c r="C25" s="5">
        <f ca="1">SUMIFS('Your Expenses'!$G$4:$G$25,'Your Expenses'!$B$4:$B$25,"&gt;="&amp;Start_Date,'Your Expenses'!$B$4:$B$25,"&lt;="&amp;End_Date,'Your Expenses'!$H$4:$H$25,Expenses_by_Places[[#This Row],[Places List]])</f>
        <v>44.5</v>
      </c>
    </row>
    <row r="26" spans="2:3" x14ac:dyDescent="0.25">
      <c r="B26" s="7" t="s">
        <v>21</v>
      </c>
      <c r="C26" s="5">
        <f ca="1">SUMIFS('Your Expenses'!$G$4:$G$25,'Your Expenses'!$B$4:$B$25,"&gt;="&amp;Start_Date,'Your Expenses'!$B$4:$B$25,"&lt;="&amp;End_Date,'Your Expenses'!$H$4:$H$25,Expenses_by_Places[[#This Row],[Places List]])</f>
        <v>0</v>
      </c>
    </row>
    <row r="27" spans="2:3" x14ac:dyDescent="0.25">
      <c r="B27" s="7" t="s">
        <v>35</v>
      </c>
      <c r="C27" s="5">
        <f ca="1">SUMIFS('Your Expenses'!$G$4:$G$25,'Your Expenses'!$B$4:$B$25,"&gt;="&amp;Start_Date,'Your Expenses'!$B$4:$B$25,"&lt;="&amp;End_Date,'Your Expenses'!$H$4:$H$25,Expenses_by_Places[[#This Row],[Places List]])</f>
        <v>0</v>
      </c>
    </row>
    <row r="28" spans="2:3" x14ac:dyDescent="0.25">
      <c r="B28" s="7" t="s">
        <v>7</v>
      </c>
      <c r="C28" s="5">
        <f ca="1">SUMIFS('Your Expenses'!$G$4:$G$25,'Your Expenses'!$B$4:$B$25,"&gt;="&amp;Start_Date,'Your Expenses'!$B$4:$B$25,"&lt;="&amp;End_Date,'Your Expenses'!$H$4:$H$25,Expenses_by_Places[[#This Row],[Places List]])</f>
        <v>0</v>
      </c>
    </row>
    <row r="29" spans="2:3" x14ac:dyDescent="0.25">
      <c r="B29" s="7" t="s">
        <v>14</v>
      </c>
      <c r="C29" s="5">
        <f ca="1">SUBTOTAL(109,Expenses_by_Places[Expenses])</f>
        <v>73.5</v>
      </c>
    </row>
  </sheetData>
  <mergeCells count="3">
    <mergeCell ref="B6:C6"/>
    <mergeCell ref="B19:C19"/>
    <mergeCell ref="B1:F1"/>
  </mergeCells>
  <pageMargins left="0.70866141732283472" right="0.70866141732283472" top="0.74803149606299213" bottom="0.74803149606299213" header="0.31496062992125984" footer="0.31496062992125984"/>
  <pageSetup orientation="portrait" horizontalDpi="0" verticalDpi="0" r:id="rId1"/>
  <drawing r:id="rId2"/>
  <tableParts count="3"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7</vt:i4>
      </vt:variant>
    </vt:vector>
  </HeadingPairs>
  <TitlesOfParts>
    <vt:vector size="9" baseType="lpstr">
      <vt:lpstr>Your Expenses</vt:lpstr>
      <vt:lpstr>Report</vt:lpstr>
      <vt:lpstr>Dates</vt:lpstr>
      <vt:lpstr>End_Date</vt:lpstr>
      <vt:lpstr>Food_Category</vt:lpstr>
      <vt:lpstr>Places</vt:lpstr>
      <vt:lpstr>Report!Print_Area</vt:lpstr>
      <vt:lpstr>'Your Expenses'!Print_Area</vt:lpstr>
      <vt:lpstr>Start_Date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/>
  <dc:creator/>
  <cp:lastModifiedBy/>
  <dcterms:created xsi:type="dcterms:W3CDTF">2021-04-05T16:41:24Z</dcterms:created>
  <dcterms:modified xsi:type="dcterms:W3CDTF">2025-10-13T12:59:47Z</dcterms:modified>
</cp:coreProperties>
</file>